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utomated tests" sheetId="2" state="visible" r:id="rId4"/>
    <sheet name="Manual tests" sheetId="3" state="visible" r:id="rId5"/>
  </sheets>
  <definedNames>
    <definedName function="false" hidden="true" localSheetId="1" name="_xlnm._FilterDatabase" vbProcedure="false">'Automated tests'!$A$5:$F$235</definedName>
    <definedName function="false" hidden="true" localSheetId="2" name="_xlnm._FilterDatabase" vbProcedure="false">'Manual tests'!$A$5:$J$70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<sst xmlns="http://schemas.openxmlformats.org/spreadsheetml/2006/main" count="1082" uniqueCount="589">
  <si>
    <t xml:space="preserve">SmartEPT — test coverage</t>
  </si>
  <si>
    <t xml:space="preserve">19 August 2026</t>
  </si>
  <si>
    <t xml:space="preserve">Automated tests (run by phpunit)</t>
  </si>
  <si>
    <t xml:space="preserve">Manual test cases (run by the team)</t>
  </si>
  <si>
    <t xml:space="preserve">Manual — passed</t>
  </si>
  <si>
    <t xml:space="preserve">Manual — failed</t>
  </si>
  <si>
    <t xml:space="preserve">Manual — blocked</t>
  </si>
  <si>
    <t xml:space="preserve">Manual — critical failed</t>
  </si>
  <si>
    <t xml:space="preserve">Categories</t>
  </si>
  <si>
    <t xml:space="preserve">1. Licensing &amp; activation</t>
  </si>
  <si>
    <t xml:space="preserve">Licence keys, .lic activation, seats, evaluation window, and the developer toggle.</t>
  </si>
  <si>
    <t xml:space="preserve">2. Gate-to-PC &amp; exclusions</t>
  </si>
  <si>
    <t xml:space="preserve">The door-punch gate, the exclusion policy, the emergency override and the tamper log.</t>
  </si>
  <si>
    <t xml:space="preserve">3. Biometric &amp; punch ingest</t>
  </si>
  <si>
    <t xml:space="preserve">Punch import from devices and the public SBB endpoint, mapping, and attendance derivation.</t>
  </si>
  <si>
    <t xml:space="preserve">4. Attendance &amp; status timeline</t>
  </si>
  <si>
    <t xml:space="preserve">Holidays, working days, nightly completion, regularisation, and the authoritative state machine.</t>
  </si>
  <si>
    <t xml:space="preserve">5. Agent tracking &amp; monitoring</t>
  </si>
  <si>
    <t xml:space="preserve">Consent, activity and idle ingestion, screenshots, presence, app/website usage and violations.</t>
  </si>
  <si>
    <t xml:space="preserve">6. Users, roles &amp; permissions</t>
  </si>
  <si>
    <t xml:space="preserve">Account lifecycle, password rules, offboarding, and granular permission gating.</t>
  </si>
  <si>
    <t xml:space="preserve">7. Dashboard, reports &amp; exports</t>
  </si>
  <si>
    <t xml:space="preserve">Live dashboard, timelines, CSV/XLSX exports and the audit export guard.</t>
  </si>
  <si>
    <t xml:space="preserve">8. Ops, alerts &amp; diagnostics</t>
  </si>
  <si>
    <t xml:space="preserve">Offline sweeps, violation spikes, error digest, audit viewer, storage rollup and backups.</t>
  </si>
  <si>
    <t xml:space="preserve">9. Platform &amp; foundation</t>
  </si>
  <si>
    <t xml:space="preserve">Auth, RBAC, tenant scoping, device registration, policy bundle, breaks, meetings, single-device login.</t>
  </si>
  <si>
    <t xml:space="preserve">A. Attendance source (the reported bug)</t>
  </si>
  <si>
    <t xml:space="preserve">manual</t>
  </si>
  <si>
    <t xml:space="preserve">B. Gate Exclusions screen</t>
  </si>
  <si>
    <t xml:space="preserve">C. Levels &amp; precedence</t>
  </si>
  <si>
    <t xml:space="preserve">D. Dates</t>
  </si>
  <si>
    <t xml:space="preserve">E. Reason &amp; accountability</t>
  </si>
  <si>
    <t xml:space="preserve">F. Robustness (defects found in review)</t>
  </si>
  <si>
    <t xml:space="preserve">G. Regression - nothing else broke</t>
  </si>
  <si>
    <t xml:space="preserve">H. On-premise licensing &amp; activation</t>
  </si>
  <si>
    <t xml:space="preserve">I. Client-side build &amp; delivery</t>
  </si>
  <si>
    <t xml:space="preserve">J. Developer licence toggle (internal only)</t>
  </si>
  <si>
    <t xml:space="preserve">Known: QaPhase4 'manager with permission can schedule' fails — pre-existing, unrelated (meeting_mode became required, test not updated).</t>
  </si>
  <si>
    <t xml:space="preserve">SmartEPT — automated test suite, by category</t>
  </si>
  <si>
    <t xml:space="preserve">Run everything:  php vendor/bin/phpunit      One class:  php vendor/bin/phpunit --filter GateExclusionPolicyTest</t>
  </si>
  <si>
    <t xml:space="preserve">These run themselves — nobody needs to click through them. The Manual tests sheet is what the team executes by hand.</t>
  </si>
  <si>
    <t xml:space="preserve">#</t>
  </si>
  <si>
    <t xml:space="preserve">Category</t>
  </si>
  <si>
    <t xml:space="preserve">Test class</t>
  </si>
  <si>
    <t xml:space="preserve">Test case</t>
  </si>
  <si>
    <t xml:space="preserve">Result</t>
  </si>
  <si>
    <t xml:space="preserve">Notes</t>
  </si>
  <si>
    <t xml:space="preserve">1. Licensing &amp; activation  —  Licence keys, .lic activation, seats, evaluation window, and the developer toggle.</t>
  </si>
  <si>
    <t xml:space="preserve">1</t>
  </si>
  <si>
    <t xml:space="preserve">M9LicenseTest</t>
  </si>
  <si>
    <t xml:space="preserve">License endpoints require admin role</t>
  </si>
  <si>
    <t xml:space="preserve">Admin sets key and bundle is cached</t>
  </si>
  <si>
    <t xml:space="preserve">Bad key blocks agent sync</t>
  </si>
  <si>
    <t xml:space="preserve">Expired license honours grace window</t>
  </si>
  <si>
    <t xml:space="preserve">Seat limit blocks new device but not reregistration</t>
  </si>
  <si>
    <t xml:space="preserve">Central unreachable keeps last verdict</t>
  </si>
  <si>
    <t xml:space="preserve">Unlicensed install runs during seven day evaluation</t>
  </si>
  <si>
    <t xml:space="preserve">Unlicensed install blocks everything after seven days</t>
  </si>
  <si>
    <t xml:space="preserve">Expired trial blocks immediately no grace</t>
  </si>
  <si>
    <t xml:space="preserve">LicenceSeatAndBlockTest</t>
  </si>
  <si>
    <t xml:space="preserve">Employees stop at the licensed seat count</t>
  </si>
  <si>
    <t xml:space="preserve">A freed seat can be used again</t>
  </si>
  <si>
    <t xml:space="preserve">Employee logins consume a seat but admin logins do not</t>
  </si>
  <si>
    <t xml:space="preserve">No cap while the install is still unlicensed</t>
  </si>
  <si>
    <t xml:space="preserve">Bulk import stops at the licensed seat count</t>
  </si>
  <si>
    <t xml:space="preserve">A relieved employee cannot be reactivated past the cap</t>
  </si>
  <si>
    <t xml:space="preserve">An admin login cannot be switched to employee past the cap</t>
  </si>
  <si>
    <t xml:space="preserve">An employee cannot sign in once expiry and grace have passed</t>
  </si>
  <si>
    <t xml:space="preserve">Inside the grace window everyone still works</t>
  </si>
  <si>
    <t xml:space="preserve">The company admin keeps the way in to the licence screen</t>
  </si>
  <si>
    <t xml:space="preserve">Enforcement can be switched off for internal installs</t>
  </si>
  <si>
    <t xml:space="preserve">PerTenantLicenseTest</t>
  </si>
  <si>
    <t xml:space="preserve">Governing row is own for saas and install for everyone else</t>
  </si>
  <si>
    <t xml:space="preserve">Saas company admin manages their own licence not the installs</t>
  </si>
  <si>
    <t xml:space="preserve">Saas admin cannot import offline licence file</t>
  </si>
  <si>
    <t xml:space="preserve">Provision delivers the tenant licence key automatically</t>
  </si>
  <si>
    <t xml:space="preserve">Tenants screen is super only and rolls up per tenant licences</t>
  </si>
  <si>
    <t xml:space="preserve">OnPremLicenceTest</t>
  </si>
  <si>
    <t xml:space="preserve">A file licence is recognised as such</t>
  </si>
  <si>
    <t xml:space="preserve">A central licence is not treated as a file licence</t>
  </si>
  <si>
    <t xml:space="preserve">Central cannot demote a file licence to unknown key</t>
  </si>
  <si>
    <t xml:space="preserve">An employee can still sign in when central rejects a file licence</t>
  </si>
  <si>
    <t xml:space="preserve">A central licence is still demoted when central rejects it</t>
  </si>
  <si>
    <t xml:space="preserve">A never validated key works briefly then stops</t>
  </si>
  <si>
    <t xml:space="preserve">A signed file licence is unaffected by that window</t>
  </si>
  <si>
    <t xml:space="preserve">An expired file licence still honours its grace</t>
  </si>
  <si>
    <t xml:space="preserve">DevLicenceKeyTest</t>
  </si>
  <si>
    <t xml:space="preserve">Enforcement is on when no toggle file exists</t>
  </si>
  <si>
    <t xml:space="preserve">A correct token switches enforcement off</t>
  </si>
  <si>
    <t xml:space="preserve">Removing the file restores enforcement</t>
  </si>
  <si>
    <t xml:space="preserve">An empty file does nothing</t>
  </si>
  <si>
    <t xml:space="preserve">A guessed or copied token does nothing</t>
  </si>
  <si>
    <t xml:space="preserve">The token is bound to this machine</t>
  </si>
  <si>
    <t xml:space="preserve">The artisan command reports and switches state</t>
  </si>
  <si>
    <t xml:space="preserve">The toggle lets a blocked employee sign in</t>
  </si>
  <si>
    <t xml:space="preserve">2. Gate-to-PC &amp; exclusions  —  The door-punch gate, the exclusion policy, the emergency override and the tamper log.</t>
  </si>
  <si>
    <t xml:space="preserve">2</t>
  </si>
  <si>
    <t xml:space="preserve">M13GateTest</t>
  </si>
  <si>
    <t xml:space="preserve">No biometric org is never gated</t>
  </si>
  <si>
    <t xml:space="preserve">Gate auto enables with device and lifts on in punch</t>
  </si>
  <si>
    <t xml:space="preserve">Company override off disables gate despite device</t>
  </si>
  <si>
    <t xml:space="preserve">Agent only attendance mode disables the gate</t>
  </si>
  <si>
    <t xml:space="preserve">Agent only beats an explicit gate on override</t>
  </si>
  <si>
    <t xml:space="preserve">Midday out punch opens door break and return closes it</t>
  </si>
  <si>
    <t xml:space="preserve">Tiny out in merges away</t>
  </si>
  <si>
    <t xml:space="preserve">Manual break is upgraded to door source</t>
  </si>
  <si>
    <t xml:space="preserve">Long break flags compliance and very long mails hr</t>
  </si>
  <si>
    <t xml:space="preserve">GateExclusionPolicyTest</t>
  </si>
  <si>
    <t xml:space="preserve">Baseline gated company walls the agent</t>
  </si>
  <si>
    <t xml:space="preserve">Employee level exclusion frees only that person</t>
  </si>
  <si>
    <t xml:space="preserve">Branch level exclusion covers everyone in the branch</t>
  </si>
  <si>
    <t xml:space="preserve">Team required claws back a branch exclusion</t>
  </si>
  <si>
    <t xml:space="preserve">Employee exclusion beats a team requirement</t>
  </si>
  <si>
    <t xml:space="preserve">Excluded employee can actually start a work session</t>
  </si>
  <si>
    <t xml:space="preserve">Device level exclusion applies to one machine</t>
  </si>
  <si>
    <t xml:space="preserve">Null gate mode returns the employee to the gate</t>
  </si>
  <si>
    <t xml:space="preserve">Exclusion is irrelevant when the company has no gate</t>
  </si>
  <si>
    <t xml:space="preserve">Gate trace explains the decision to an admin</t>
  </si>
  <si>
    <t xml:space="preserve">Gate mode rejects a bogus value</t>
  </si>
  <si>
    <t xml:space="preserve">Exclusion inside its window applies</t>
  </si>
  <si>
    <t xml:space="preserve">Exclusion has not started yet</t>
  </si>
  <si>
    <t xml:space="preserve">Exclusion expires by itself with no admin action</t>
  </si>
  <si>
    <t xml:space="preserve">A dead reader can be covered at branch level for three days</t>
  </si>
  <si>
    <t xml:space="preserve">Expired level falls through to the level above</t>
  </si>
  <si>
    <t xml:space="preserve">Until before from is rejected</t>
  </si>
  <si>
    <t xml:space="preserve">The granting admin is recorded and cleared with the exclusion</t>
  </si>
  <si>
    <t xml:space="preserve">A required level is never reported as an exclusion</t>
  </si>
  <si>
    <t xml:space="preserve">The console can list every exclusion in one place</t>
  </si>
  <si>
    <t xml:space="preserve">The roll up marks a lapsed exclusion as expired</t>
  </si>
  <si>
    <t xml:space="preserve">The window expires on the tenants midnight not utcs</t>
  </si>
  <si>
    <t xml:space="preserve">Extending an exclusion reattributes it and keeps the dates</t>
  </si>
  <si>
    <t xml:space="preserve">An unbound machine no longer walls an excluded employee</t>
  </si>
  <si>
    <t xml:space="preserve">A soft deleted branch stops granting its exclusion</t>
  </si>
  <si>
    <t xml:space="preserve">A device moved to another company loses its exclusion</t>
  </si>
  <si>
    <t xml:space="preserve">The bare gate poll does not lift the wall for a required machine</t>
  </si>
  <si>
    <t xml:space="preserve">QaPhase2Test</t>
  </si>
  <si>
    <t xml:space="preserve">Gate status returns both shapes when not gated</t>
  </si>
  <si>
    <t xml:space="preserve">Gate status gives a reason when closed</t>
  </si>
  <si>
    <t xml:space="preserve">Admin gate override lifts the gate and is logged</t>
  </si>
  <si>
    <t xml:space="preserve">Employee cannot override the gate</t>
  </si>
  <si>
    <t xml:space="preserve">Agent reports a tamper attempt</t>
  </si>
  <si>
    <t xml:space="preserve">First login is write once and today stays stable</t>
  </si>
  <si>
    <t xml:space="preserve">Exit lock is exposed in the policy bundle as a hash</t>
  </si>
  <si>
    <t xml:space="preserve">3. Biometric &amp; punch ingest  —  Punch import from devices and the public SBB endpoint, mapping, and attendance derivation.</t>
  </si>
  <si>
    <t xml:space="preserve">3</t>
  </si>
  <si>
    <t xml:space="preserve">SbbPunchIngestTest</t>
  </si>
  <si>
    <t xml:space="preserve">Punch creates attendance when no row exists yet</t>
  </si>
  <si>
    <t xml:space="preserve">Ingested punch reaches biometric logs and opens the gate</t>
  </si>
  <si>
    <t xml:space="preserve">Punch does not modify a manual row</t>
  </si>
  <si>
    <t xml:space="preserve">Punch does not reopen an on leave day</t>
  </si>
  <si>
    <t xml:space="preserve">Same external id twice is accepted then duplicate</t>
  </si>
  <si>
    <t xml:space="preserve">External id over 96 chars is rejected</t>
  </si>
  <si>
    <t xml:space="preserve">Derivation runs and sets late minutes</t>
  </si>
  <si>
    <t xml:space="preserve">Punch inside the grace window is not late</t>
  </si>
  <si>
    <t xml:space="preserve">A midday out does not become the days checkout</t>
  </si>
  <si>
    <t xml:space="preserve">Break punches and device metadata round trip</t>
  </si>
  <si>
    <t xml:space="preserve">Invalid punch type and verification mode are rejected</t>
  </si>
  <si>
    <t xml:space="preserve">A device id from another company is ignored not stored</t>
  </si>
  <si>
    <t xml:space="preserve">Relieved and deleted employees do not get attendance</t>
  </si>
  <si>
    <t xml:space="preserve">A key from company a cannot write a punch for company b</t>
  </si>
  <si>
    <t xml:space="preserve">An expired key is rejected</t>
  </si>
  <si>
    <t xml:space="preserve">A read only key cannot ingest</t>
  </si>
  <si>
    <t xml:space="preserve">Ping and roster give an installer what they need</t>
  </si>
  <si>
    <t xml:space="preserve">Ingest response reports the licence verdict</t>
  </si>
  <si>
    <t xml:space="preserve">M6BiometricScoringTest</t>
  </si>
  <si>
    <t xml:space="preserve">Biometric map ingest and mismatch</t>
  </si>
  <si>
    <t xml:space="preserve">Daily summary command writes scores</t>
  </si>
  <si>
    <t xml:space="preserve">QaPhase3Test</t>
  </si>
  <si>
    <t xml:space="preserve">Lunch out is not checkout and final out recomputes</t>
  </si>
  <si>
    <t xml:space="preserve">Manual attendance is preserved</t>
  </si>
  <si>
    <t xml:space="preserve">Biometric only employee gets late default later of both</t>
  </si>
  <si>
    <t xml:space="preserve">Late honours biometric in source</t>
  </si>
  <si>
    <t xml:space="preserve">Relogin does not change late</t>
  </si>
  <si>
    <t xml:space="preserve">Gate closed refuses activity and screenshot capture</t>
  </si>
  <si>
    <t xml:space="preserve">Gate open allows activity capture</t>
  </si>
  <si>
    <t xml:space="preserve">4. Attendance &amp; status timeline  —  Holidays, working days, nightly completion, regularisation, and the authoritative state machine.</t>
  </si>
  <si>
    <t xml:space="preserve">4</t>
  </si>
  <si>
    <t xml:space="preserve">M8AttendanceCompletenessTest</t>
  </si>
  <si>
    <t xml:space="preserve">Holiday crud and tenant scoping</t>
  </si>
  <si>
    <t xml:space="preserve">Mark attendance creates absent only on working days</t>
  </si>
  <si>
    <t xml:space="preserve">Stale sessions auto close with capped duration</t>
  </si>
  <si>
    <t xml:space="preserve">Short day is downgraded to half day</t>
  </si>
  <si>
    <t xml:space="preserve">Manual regularization put requires reason and updates row</t>
  </si>
  <si>
    <t xml:space="preserve">Manual post creates missed day and guards duplicates</t>
  </si>
  <si>
    <t xml:space="preserve">Biometric ingest creates and merges attendance</t>
  </si>
  <si>
    <t xml:space="preserve">Monthly summary math</t>
  </si>
  <si>
    <t xml:space="preserve">Attendance register csv matrix</t>
  </si>
  <si>
    <t xml:space="preserve">Productivity and daily summary exports accept ranges</t>
  </si>
  <si>
    <t xml:space="preserve">QaPhase1Test</t>
  </si>
  <si>
    <t xml:space="preserve">Only one segment is ever open</t>
  </si>
  <si>
    <t xml:space="preserve">Repeated event uuid is idempotent</t>
  </si>
  <si>
    <t xml:space="preserve">Meeting is productive and never a break</t>
  </si>
  <si>
    <t xml:space="preserve">Lock forces idle over meeting but respects a break</t>
  </si>
  <si>
    <t xml:space="preserve">Logout closes all segments</t>
  </si>
  <si>
    <t xml:space="preserve">Ambient activity does not clobber a manual break</t>
  </si>
  <si>
    <t xml:space="preserve">Manual tea then lunch is rejected 409</t>
  </si>
  <si>
    <t xml:space="preserve">Break then meeting is rejected 409</t>
  </si>
  <si>
    <t xml:space="preserve">Meeting then break is rejected 409</t>
  </si>
  <si>
    <t xml:space="preserve">Ending a break returns to active in the timeline</t>
  </si>
  <si>
    <t xml:space="preserve">Dashboard places each employee in exactly one category</t>
  </si>
  <si>
    <t xml:space="preserve">Today reports meeting time and the break split</t>
  </si>
  <si>
    <t xml:space="preserve">5. Agent tracking &amp; monitoring  —  Consent, activity and idle ingestion, screenshots, presence, app/website usage and violations.</t>
  </si>
  <si>
    <t xml:space="preserve">5</t>
  </si>
  <si>
    <t xml:space="preserve">M2AgentTrackingTest</t>
  </si>
  <si>
    <t xml:space="preserve">Tracking is blocked until consent is recorded</t>
  </si>
  <si>
    <t xml:space="preserve">Full attendance and activity flow after consent</t>
  </si>
  <si>
    <t xml:space="preserve">M3ScreenshotPresenceTest</t>
  </si>
  <si>
    <t xml:space="preserve">Presence event metadata is accepted</t>
  </si>
  <si>
    <t xml:space="preserve">Screenshot upload store serve and audit</t>
  </si>
  <si>
    <t xml:space="preserve">Employee role cannot view screenshots</t>
  </si>
  <si>
    <t xml:space="preserve">M4UsageComplianceTest</t>
  </si>
  <si>
    <t xml:space="preserve">App usage is categorised and blocked flagged</t>
  </si>
  <si>
    <t xml:space="preserve">Blocked website flagged via title</t>
  </si>
  <si>
    <t xml:space="preserve">Compliance event stored and in feed</t>
  </si>
  <si>
    <t xml:space="preserve">QaPhase5Test</t>
  </si>
  <si>
    <t xml:space="preserve">Bundle exposes effective interval and version</t>
  </si>
  <si>
    <t xml:space="preserve">Violation evidence returns only linked shots</t>
  </si>
  <si>
    <t xml:space="preserve">Cross tenant evidence is forbidden</t>
  </si>
  <si>
    <t xml:space="preserve">Purged evidence reports expired</t>
  </si>
  <si>
    <t xml:space="preserve">6. Users, roles &amp; permissions  —  Account lifecycle, password rules, offboarding, and granular permission gating.</t>
  </si>
  <si>
    <t xml:space="preserve">6</t>
  </si>
  <si>
    <t xml:space="preserve">M7UserManagementTest</t>
  </si>
  <si>
    <t xml:space="preserve">Admin creates user and temp password login works</t>
  </si>
  <si>
    <t xml:space="preserve">Non super admin cannot create super admin</t>
  </si>
  <si>
    <t xml:space="preserve">Change password flow</t>
  </si>
  <si>
    <t xml:space="preserve">Change password rejects wrong current password</t>
  </si>
  <si>
    <t xml:space="preserve">Reset password revokes existing tokens</t>
  </si>
  <si>
    <t xml:space="preserve">Disabled user cannot login and tokens die</t>
  </si>
  <si>
    <t xml:space="preserve">Admin cannot disable self or change own role</t>
  </si>
  <si>
    <t xml:space="preserve">Employee role cannot access user management</t>
  </si>
  <si>
    <t xml:space="preserve">Creating employee auto creates linked login</t>
  </si>
  <si>
    <t xml:space="preserve">Create login false skips auto provisioning</t>
  </si>
  <si>
    <t xml:space="preserve">Duplicate employee code returns 422 not 500</t>
  </si>
  <si>
    <t xml:space="preserve">Cross tenant admin cannot see or touch other company users</t>
  </si>
  <si>
    <t xml:space="preserve">M11OffboardingTest</t>
  </si>
  <si>
    <t xml:space="preserve">Relieve disables login revokes tokens and unbinds devices</t>
  </si>
  <si>
    <t xml:space="preserve">Relieve requires reason</t>
  </si>
  <si>
    <t xml:space="preserve">Relieved employee agent is blocked even with live token</t>
  </si>
  <si>
    <t xml:space="preserve">Unbound device cannot reregister until rebind approved</t>
  </si>
  <si>
    <t xml:space="preserve">Deleted employee code can be reused</t>
  </si>
  <si>
    <t xml:space="preserve">Rebind respects licence seat limit</t>
  </si>
  <si>
    <t xml:space="preserve">QaPhase4Test</t>
  </si>
  <si>
    <t xml:space="preserve">Manager with permission can schedule</t>
  </si>
  <si>
    <t xml:space="preserve">Auditor without permission cannot schedule</t>
  </si>
  <si>
    <t xml:space="preserve">Employee cannot view or schedule meetings</t>
  </si>
  <si>
    <t xml:space="preserve">Cross tenant meeting is not visible</t>
  </si>
  <si>
    <t xml:space="preserve">Role permission defaults are seeded</t>
  </si>
  <si>
    <t xml:space="preserve">EptFixesTest</t>
  </si>
  <si>
    <t xml:space="preserve">Forced user sets password without current and stays signed in</t>
  </si>
  <si>
    <t xml:space="preserve">Forced set rejects mismatch and weak password</t>
  </si>
  <si>
    <t xml:space="preserve">Voluntary change still requires current password</t>
  </si>
  <si>
    <t xml:space="preserve">Attendance api returns work date</t>
  </si>
  <si>
    <t xml:space="preserve">Employee attendance is own only with date</t>
  </si>
  <si>
    <t xml:space="preserve">Employee sees only own violations</t>
  </si>
  <si>
    <t xml:space="preserve">Employee cannot pass another employee id to violations</t>
  </si>
  <si>
    <t xml:space="preserve">Employee cannot open other employees evidence but can open own</t>
  </si>
  <si>
    <t xml:space="preserve">Employee screenshot isolation</t>
  </si>
  <si>
    <t xml:space="preserve">Summary first login prefers attendance over login session</t>
  </si>
  <si>
    <t xml:space="preserve">Summary first login survives missing logout</t>
  </si>
  <si>
    <t xml:space="preserve">Summary buckets activity by company local day</t>
  </si>
  <si>
    <t xml:space="preserve">Previous day productivity report shows attendance first login</t>
  </si>
  <si>
    <t xml:space="preserve">7. Dashboard, reports &amp; exports  —  Live dashboard, timelines, CSV/XLSX exports and the audit export guard.</t>
  </si>
  <si>
    <t xml:space="preserve">7</t>
  </si>
  <si>
    <t xml:space="preserve">M5DashboardExportTest</t>
  </si>
  <si>
    <t xml:space="preserve">Live status cards and table</t>
  </si>
  <si>
    <t xml:space="preserve">Employee timeline has login entry</t>
  </si>
  <si>
    <t xml:space="preserve">Productivity csv export</t>
  </si>
  <si>
    <t xml:space="preserve">Sync batch is idempotent</t>
  </si>
  <si>
    <t xml:space="preserve">QaPhase6Test</t>
  </si>
  <si>
    <t xml:space="preserve">Explicit range overrides and is precise</t>
  </si>
  <si>
    <t xml:space="preserve">Pagination preserves the range filter</t>
  </si>
  <si>
    <t xml:space="preserve">Audit export is filtered formula safe and permissioned</t>
  </si>
  <si>
    <t xml:space="preserve">Future manual checkout is rejected</t>
  </si>
  <si>
    <t xml:space="preserve">Overnight checkout in the past is accepted</t>
  </si>
  <si>
    <t xml:space="preserve">8. Ops, alerts &amp; diagnostics  —  Offline sweeps, violation spikes, error digest, audit viewer, storage rollup and backups.</t>
  </si>
  <si>
    <t xml:space="preserve">8</t>
  </si>
  <si>
    <t xml:space="preserve">M10AlertsTest</t>
  </si>
  <si>
    <t xml:space="preserve">Offline sweep flips silent devices and mails admin once</t>
  </si>
  <si>
    <t xml:space="preserve">Violation spike alert is sent once per hour</t>
  </si>
  <si>
    <t xml:space="preserve">No spike alert below threshold</t>
  </si>
  <si>
    <t xml:space="preserve">Error digest scans log and mails admins</t>
  </si>
  <si>
    <t xml:space="preserve">M12OpsTest</t>
  </si>
  <si>
    <t xml:space="preserve">Audit log viewer lists and filters</t>
  </si>
  <si>
    <t xml:space="preserve">Storage usage rolls up per company</t>
  </si>
  <si>
    <t xml:space="preserve">Backup command writes gzip and prunes</t>
  </si>
  <si>
    <t xml:space="preserve">Backup endpoint runs and lists</t>
  </si>
  <si>
    <t xml:space="preserve">9. Platform &amp; foundation  —  Auth, RBAC, tenant scoping, device registration, policy bundle, breaks, meetings, single-device login.</t>
  </si>
  <si>
    <t xml:space="preserve">9</t>
  </si>
  <si>
    <t xml:space="preserve">M1FoundationTest</t>
  </si>
  <si>
    <t xml:space="preserve">Company admin can login and see permissions</t>
  </si>
  <si>
    <t xml:space="preserve">Bad credentials are rejected</t>
  </si>
  <si>
    <t xml:space="preserve">Employee role cannot list companies</t>
  </si>
  <si>
    <t xml:space="preserve">Admin can list employees scoped to tenant</t>
  </si>
  <si>
    <t xml:space="preserve">Agent can register device and fetch policy bundle</t>
  </si>
  <si>
    <t xml:space="preserve">Policy edit bumps version</t>
  </si>
  <si>
    <t xml:space="preserve">M14NextPhaseTest</t>
  </si>
  <si>
    <t xml:space="preserve">Break over limit records excess and reason</t>
  </si>
  <si>
    <t xml:space="preserve">Break within limit has no excess</t>
  </si>
  <si>
    <t xml:space="preserve">Break limits reach the agent policy bundle</t>
  </si>
  <si>
    <t xml:space="preserve">Participant can join meeting inside the window</t>
  </si>
  <si>
    <t xml:space="preserve">Non participant cannot join</t>
  </si>
  <si>
    <t xml:space="preserve">Cannot join outside the scheduled window</t>
  </si>
  <si>
    <t xml:space="preserve">Cancelled meeting cannot be joined</t>
  </si>
  <si>
    <t xml:space="preserve">Employee cannot create a meeting</t>
  </si>
  <si>
    <t xml:space="preserve">Meeting time is recorded and is not a break</t>
  </si>
  <si>
    <t xml:space="preserve">Second pc is denied while the first is active</t>
  </si>
  <si>
    <t xml:space="preserve">Same device restart reconnects</t>
  </si>
  <si>
    <t xml:space="preserve">Stale session allows takeover</t>
  </si>
  <si>
    <t xml:space="preserve">Admin force logout revokes the agent session</t>
  </si>
  <si>
    <t xml:space="preserve">Biometric mapping crud and one employee guard</t>
  </si>
  <si>
    <t xml:space="preserve">Unmapped biometric ids are discoverable</t>
  </si>
  <si>
    <t xml:space="preserve">ExampleTest</t>
  </si>
  <si>
    <t xml:space="preserve">That true is true</t>
  </si>
  <si>
    <t xml:space="preserve">The application returns a successful response</t>
  </si>
  <si>
    <t xml:space="preserve">SmartEPT — manual test cases, by category</t>
  </si>
  <si>
    <t xml:space="preserve">Fill in Result, Tested by, Date and Notes. Work top to bottom — later cases reuse the setup left by earlier ones.</t>
  </si>
  <si>
    <t xml:space="preserve">Companion: SmartEPT-Gate-Manual-Test-Plan-2026-08-19.pdf (section 4 explains how to simulate a door punch with no reader).</t>
  </si>
  <si>
    <t xml:space="preserve">ID</t>
  </si>
  <si>
    <t xml:space="preserve">Severity</t>
  </si>
  <si>
    <t xml:space="preserve">Setup / preconditions</t>
  </si>
  <si>
    <t xml:space="preserve">Steps</t>
  </si>
  <si>
    <t xml:space="preserve">Expected result</t>
  </si>
  <si>
    <t xml:space="preserve">Tested by</t>
  </si>
  <si>
    <t xml:space="preserve">Date</t>
  </si>
  <si>
    <t xml:space="preserve">A1</t>
  </si>
  <si>
    <t xml:space="preserve">Baseline: a gated company walls the agent</t>
  </si>
  <si>
    <t xml:space="preserve">Critical</t>
  </si>
  <si>
    <t xml:space="preserve">Org = With biometric device; Gate mode = Always ON; no punch today</t>
  </si>
  <si>
    <t xml:space="preserve">Sign the agent in as Employee A</t>
  </si>
  <si>
    <t xml:space="preserve">Agent shows "Punch in at the door to start"; no session starts</t>
  </si>
  <si>
    <t xml:space="preserve">A2</t>
  </si>
  <si>
    <t xml:space="preserve">Switching to Without biometric device releases the agent</t>
  </si>
  <si>
    <t xml:space="preserve">Continue from A1</t>
  </si>
  <si>
    <t xml:space="preserve">Organisation -&gt; Attendance source -&gt; Without biometric device -&gt; Save. Do NOT restart the agent</t>
  </si>
  <si>
    <t xml:space="preserve">Wall disappears within ~15s by itself; session starts; no restart/unbind/re-login</t>
  </si>
  <si>
    <t xml:space="preserve">A3</t>
  </si>
  <si>
    <t xml:space="preserve">Biometric and Gate Exclusions menus hide themselves</t>
  </si>
  <si>
    <t xml:space="preserve">Medium</t>
  </si>
  <si>
    <t xml:space="preserve">Still on Without biometric device</t>
  </si>
  <si>
    <t xml:space="preserve">Hard-refresh (Ctrl+F5), sign in, look at the sidebar</t>
  </si>
  <si>
    <t xml:space="preserve">Both absent from Manage; all other menus unchanged</t>
  </si>
  <si>
    <t xml:space="preserve">A4</t>
  </si>
  <si>
    <t xml:space="preserve">Switching back restores the gate</t>
  </si>
  <si>
    <t xml:space="preserve">High</t>
  </si>
  <si>
    <t xml:space="preserve">-</t>
  </si>
  <si>
    <t xml:space="preserve">Organisation -&gt; With biometric device -&gt; Save; hard-refresh</t>
  </si>
  <si>
    <t xml:space="preserve">Menus return; agent shows the wall again within ~15s</t>
  </si>
  <si>
    <t xml:space="preserve">A5</t>
  </si>
  <si>
    <t xml:space="preserve">Leftover reader records do not keep the gate on</t>
  </si>
  <si>
    <t xml:space="preserve">A biometric device is configured and ACTIVE; Gate mode = Always ON</t>
  </si>
  <si>
    <t xml:space="preserve">Organisation -&gt; Without biometric device -&gt; Save</t>
  </si>
  <si>
    <t xml:space="preserve">Agent released within ~15s despite the device record and Always ON</t>
  </si>
  <si>
    <t xml:space="preserve">B1</t>
  </si>
  <si>
    <t xml:space="preserve">The menu is in the right place</t>
  </si>
  <si>
    <t xml:space="preserve">Low</t>
  </si>
  <si>
    <t xml:space="preserve">Look at the sidebar under Manage</t>
  </si>
  <si>
    <t xml:space="preserve">Gate Exclusions sits directly below Biometric; screen opens</t>
  </si>
  <si>
    <t xml:space="preserve">B2</t>
  </si>
  <si>
    <t xml:space="preserve">The status card tells the truth</t>
  </si>
  <si>
    <t xml:space="preserve">Gate mode = Always ON</t>
  </si>
  <si>
    <t xml:space="preserve">Read the top card; set Gate mode = OFF, Save, re-read</t>
  </si>
  <si>
    <t xml:space="preserve">First: Gate-to-PC is ON (green). Then: OFF (amber) with a warning</t>
  </si>
  <si>
    <t xml:space="preserve">B3</t>
  </si>
  <si>
    <t xml:space="preserve">Empty state</t>
  </si>
  <si>
    <t xml:space="preserve">No exclusions yet</t>
  </si>
  <si>
    <t xml:space="preserve">Look at the table</t>
  </si>
  <si>
    <t xml:space="preserve">Plain-language message, not a blank table or an error</t>
  </si>
  <si>
    <t xml:space="preserve">B4</t>
  </si>
  <si>
    <t xml:space="preserve">Create an exclusion for one employee</t>
  </si>
  <si>
    <t xml:space="preserve">+ Add exclusion -&gt; Employee -&gt; Employee A -&gt; Excluded -&gt; no dates -&gt; reason -&gt; Save</t>
  </si>
  <si>
    <t xml:space="preserve">Row shows Excluded, dashes for dates, Status Active, your reason, your name</t>
  </si>
  <si>
    <t xml:space="preserve">B5</t>
  </si>
  <si>
    <t xml:space="preserve">The excluded employee is released</t>
  </si>
  <si>
    <t xml:space="preserve">B4 done; no punch today</t>
  </si>
  <si>
    <t xml:space="preserve">Watch the agent for 20 seconds</t>
  </si>
  <si>
    <t xml:space="preserve">Wall disappears within ~15s</t>
  </si>
  <si>
    <t xml:space="preserve">B6</t>
  </si>
  <si>
    <t xml:space="preserve">Removing the exclusion re-gates them</t>
  </si>
  <si>
    <t xml:space="preserve">B5 done</t>
  </si>
  <si>
    <t xml:space="preserve">Remove the row and confirm</t>
  </si>
  <si>
    <t xml:space="preserve">Row disappears; wall returns within ~15s</t>
  </si>
  <si>
    <t xml:space="preserve">C1</t>
  </si>
  <si>
    <t xml:space="preserve">A branch exclusion covers everyone at the site</t>
  </si>
  <si>
    <t xml:space="preserve">No other exclusions</t>
  </si>
  <si>
    <t xml:space="preserve">Add: Branch -&gt; Employee A's branch -&gt; Excluded</t>
  </si>
  <si>
    <t xml:space="preserve">Agent released within ~15s with no personal exclusion</t>
  </si>
  <si>
    <t xml:space="preserve">C2</t>
  </si>
  <si>
    <t xml:space="preserve">A team marked Required stays behind the gate</t>
  </si>
  <si>
    <t xml:space="preserve">C1 in place</t>
  </si>
  <si>
    <t xml:space="preserve">Add: Team -&gt; Employee A's team -&gt; Required</t>
  </si>
  <si>
    <t xml:space="preserve">Agent returns to the wall even though the branch is Excluded</t>
  </si>
  <si>
    <t xml:space="preserve">C3</t>
  </si>
  <si>
    <t xml:space="preserve">A personal exclusion beats the team requirement</t>
  </si>
  <si>
    <t xml:space="preserve">C1 and C2 in place</t>
  </si>
  <si>
    <t xml:space="preserve">Add: Employee -&gt; Employee A -&gt; Excluded</t>
  </si>
  <si>
    <t xml:space="preserve">Released within ~15s (most specific wins)</t>
  </si>
  <si>
    <t xml:space="preserve">C4</t>
  </si>
  <si>
    <t xml:space="preserve">Colleagues are NOT affected</t>
  </si>
  <si>
    <t xml:space="preserve">Only Employee A's personal exclusion remains</t>
  </si>
  <si>
    <t xml:space="preserve">Sign the agent in as Employee B (no punch today)</t>
  </si>
  <si>
    <t xml:space="preserve">Employee B sees the wall; the exclusion must not leak</t>
  </si>
  <si>
    <t xml:space="preserve">C5</t>
  </si>
  <si>
    <t xml:space="preserve">One machine only</t>
  </si>
  <si>
    <t xml:space="preserve">Add: Machine -&gt; the test PC -&gt; Excluded</t>
  </si>
  <si>
    <t xml:space="preserve">Released within ~15s; then remove it</t>
  </si>
  <si>
    <t xml:space="preserve">D1</t>
  </si>
  <si>
    <t xml:space="preserve">A future-dated exclusion does nothing yet</t>
  </si>
  <si>
    <t xml:space="preserve">Employee A walled</t>
  </si>
  <si>
    <t xml:space="preserve">Add: Employee A, Excluded, from tomorrow, until +1 week</t>
  </si>
  <si>
    <t xml:space="preserve">Status Scheduled; agent stays walled</t>
  </si>
  <si>
    <t xml:space="preserve">D2</t>
  </si>
  <si>
    <t xml:space="preserve">An exclusion covering today applies</t>
  </si>
  <si>
    <t xml:space="preserve">D1 row exists</t>
  </si>
  <si>
    <t xml:space="preserve">Edit -&gt; Valid from = today</t>
  </si>
  <si>
    <t xml:space="preserve">Status Active; released within ~15s</t>
  </si>
  <si>
    <t xml:space="preserve">D3</t>
  </si>
  <si>
    <t xml:space="preserve">An exclusion whose end date has passed does nothing</t>
  </si>
  <si>
    <t xml:space="preserve">D2 row exists</t>
  </si>
  <si>
    <t xml:space="preserve">Edit -&gt; from = a week ago, until = yesterday</t>
  </si>
  <si>
    <t xml:space="preserve">Status Expired; wall returns within ~15s</t>
  </si>
  <si>
    <t xml:space="preserve">D4</t>
  </si>
  <si>
    <t xml:space="preserve">An exclusion ending today works all of today</t>
  </si>
  <si>
    <t xml:space="preserve">D3 row exists</t>
  </si>
  <si>
    <t xml:space="preserve">Edit -&gt; from = a week ago, until = today</t>
  </si>
  <si>
    <t xml:space="preserve">Status Active; released (end date is inclusive)</t>
  </si>
  <si>
    <t xml:space="preserve">D5</t>
  </si>
  <si>
    <t xml:space="preserve">Expiry happens at LOCAL midnight (overnight)</t>
  </si>
  <si>
    <t xml:space="preserve">Leave D4 (until = today) and the agent running overnight</t>
  </si>
  <si>
    <t xml:space="preserve">Check after 18:30, then again before 09:30 next morning; record both times</t>
  </si>
  <si>
    <t xml:space="preserve">Evening: Active and working. Morning: Expired and walled. Change happens near LOCAL midnight - NOT 05:30</t>
  </si>
  <si>
    <t xml:space="preserve">D6</t>
  </si>
  <si>
    <t xml:space="preserve">An end date before the start date is refused</t>
  </si>
  <si>
    <t xml:space="preserve">Try from = next Friday, until = today</t>
  </si>
  <si>
    <t xml:space="preserve">Clear error; nothing saved</t>
  </si>
  <si>
    <t xml:space="preserve">D7</t>
  </si>
  <si>
    <t xml:space="preserve">Blank dates mean permanent</t>
  </si>
  <si>
    <t xml:space="preserve">Clear both date fields and Save</t>
  </si>
  <si>
    <t xml:space="preserve">Status Active, dashes for dates, released, stays that way</t>
  </si>
  <si>
    <t xml:space="preserve">E1</t>
  </si>
  <si>
    <t xml:space="preserve">Reason and grantor are shown</t>
  </si>
  <si>
    <t xml:space="preserve">Create an exclusion with a reason</t>
  </si>
  <si>
    <t xml:space="preserve">Reason shown exactly; Granted by shows your own name</t>
  </si>
  <si>
    <t xml:space="preserve">E2</t>
  </si>
  <si>
    <t xml:space="preserve">Whoever changes it becomes accountable</t>
  </si>
  <si>
    <t xml:space="preserve">E1 row created by you, until = tomorrow</t>
  </si>
  <si>
    <t xml:space="preserve">Sign in as a DIFFERENT admin (HR Admin); edit -&gt; until = next week</t>
  </si>
  <si>
    <t xml:space="preserve">Granted by shows the second admin; still Excluded; reason unchanged</t>
  </si>
  <si>
    <t xml:space="preserve">E3</t>
  </si>
  <si>
    <t xml:space="preserve">Removing clears everything with it</t>
  </si>
  <si>
    <t xml:space="preserve">Remove, then create a fresh exclusion with no reason/dates</t>
  </si>
  <si>
    <t xml:space="preserve">New row shows dashes; no leftovers</t>
  </si>
  <si>
    <t xml:space="preserve">E4</t>
  </si>
  <si>
    <t xml:space="preserve">The change is in the audit log</t>
  </si>
  <si>
    <t xml:space="preserve">Audit &amp; Ops -&gt; look around the times you made changes</t>
  </si>
  <si>
    <t xml:space="preserve">Update entries against the employee/branch, attributed correctly</t>
  </si>
  <si>
    <t xml:space="preserve">F1</t>
  </si>
  <si>
    <t xml:space="preserve">A name with an apostrophe does not break the screen</t>
  </si>
  <si>
    <t xml:space="preserve">Rename a test branch to O'Brien Site, give it an exclusion, press Remove. Also try a name with a double quote and one containing &lt;b&gt;test&lt;/b&gt;</t>
  </si>
  <si>
    <t xml:space="preserve">Names display as plain text; confirm prompt shows the name; Remove works; nothing strange on screen</t>
  </si>
  <si>
    <t xml:space="preserve">F2</t>
  </si>
  <si>
    <t xml:space="preserve">Deleting a branch re-gates its staff</t>
  </si>
  <si>
    <t xml:space="preserve">Throwaway test branch with an exclusion; agent released</t>
  </si>
  <si>
    <t xml:space="preserve">Organisation -&gt; Branches -&gt; Delete that branch</t>
  </si>
  <si>
    <t xml:space="preserve">Wall returns within ~15s; row disappears from Gate Exclusions</t>
  </si>
  <si>
    <t xml:space="preserve">F3</t>
  </si>
  <si>
    <t xml:space="preserve">A retired PC stops locking out its former user</t>
  </si>
  <si>
    <t xml:space="preserve">Employee A Excluded; test PC Machine-level Required; agent walled</t>
  </si>
  <si>
    <t xml:space="preserve">Devices -&gt; unbind the test PC</t>
  </si>
  <si>
    <t xml:space="preserve">The Required no longer applies; Employee A can work</t>
  </si>
  <si>
    <t xml:space="preserve">F4</t>
  </si>
  <si>
    <t xml:space="preserve">Super Admin can open the screen</t>
  </si>
  <si>
    <t xml:space="preserve">Sign in as Super Admin; open Gate Exclusions</t>
  </si>
  <si>
    <t xml:space="preserve">Loads with no error in the table area</t>
  </si>
  <si>
    <t xml:space="preserve">F5</t>
  </si>
  <si>
    <t xml:space="preserve">Ordinary employees cannot see or change any of this</t>
  </si>
  <si>
    <t xml:space="preserve">Sign in with a plain Employee self-service login</t>
  </si>
  <si>
    <t xml:space="preserve">No Gate Exclusions menu, no Biometric menu, no way to change a gate setting</t>
  </si>
  <si>
    <t xml:space="preserve">F6</t>
  </si>
  <si>
    <t xml:space="preserve">Monitoring still works for an excluded employee</t>
  </si>
  <si>
    <t xml:space="preserve">Employee A excluded and working</t>
  </si>
  <si>
    <t xml:space="preserve">Leave the agent running 10 minutes with normal activity; check Live Dashboard, Screenshots, Usage</t>
  </si>
  <si>
    <t xml:space="preserve">Active; screenshots arriving (if policy enables); usage recorded</t>
  </si>
  <si>
    <t xml:space="preserve">G1</t>
  </si>
  <si>
    <t xml:space="preserve">A normal punch still opens the gate</t>
  </si>
  <si>
    <t xml:space="preserve">All exclusions removed; Employee A walled</t>
  </si>
  <si>
    <t xml:space="preserve">Import an IN punch for TEST-A dated now</t>
  </si>
  <si>
    <t xml:space="preserve">Released within ~15s plus sync; punch in the log; check-in in Attendance</t>
  </si>
  <si>
    <t xml:space="preserve">G2</t>
  </si>
  <si>
    <t xml:space="preserve">A punch that arrives late is still recorded</t>
  </si>
  <si>
    <t xml:space="preserve">Import an IN punch timestamped earlier this morning</t>
  </si>
  <si>
    <t xml:space="preserve">Punch in the log and in today's attendance record</t>
  </si>
  <si>
    <t xml:space="preserve">G3</t>
  </si>
  <si>
    <t xml:space="preserve">Mid-day out-punch behaviour unchanged</t>
  </si>
  <si>
    <t xml:space="preserve">No exclusion; Employee A punched in and working</t>
  </si>
  <si>
    <t xml:space="preserve">Import an OUT punch now; wait; import an IN a few minutes later</t>
  </si>
  <si>
    <t xml:space="preserve">Out-of-office break opens on OUT and closes on the return IN</t>
  </si>
  <si>
    <t xml:space="preserve">G4</t>
  </si>
  <si>
    <t xml:space="preserve">The emergency override still works</t>
  </si>
  <si>
    <t xml:space="preserve">No exclusions; Employee A walled</t>
  </si>
  <si>
    <t xml:space="preserve">An admin issues the emergency gate override with a reason</t>
  </si>
  <si>
    <t xml:space="preserve">Released within ~15s; override recorded against the approving admin</t>
  </si>
  <si>
    <t xml:space="preserve">H1</t>
  </si>
  <si>
    <t xml:space="preserve">Activation page shows a fingerprint</t>
  </si>
  <si>
    <t xml:space="preserve">Fresh on-prem install; SMARTEPT_ONPREM=true</t>
  </si>
  <si>
    <t xml:space="preserve">Open /activate</t>
  </si>
  <si>
    <t xml:space="preserve">Page shows the licence upload form and this machine's fingerprint</t>
  </si>
  <si>
    <t xml:space="preserve">H2</t>
  </si>
  <si>
    <t xml:space="preserve">Missing SMARTEPT_ONPREM is diagnosable</t>
  </si>
  <si>
    <t xml:space="preserve">Set SMARTEPT_ONPREM=false; php artisan config:clear</t>
  </si>
  <si>
    <t xml:space="preserve">Shows the "managed by Ametecs" notice instead of the form - this is the symptom to recognise. Restore true afterwards</t>
  </si>
  <si>
    <t xml:space="preserve">H3</t>
  </si>
  <si>
    <t xml:space="preserve">A valid .lic activates the install</t>
  </si>
  <si>
    <t xml:space="preserve">Ametecs has issued a .lic for this fingerprint</t>
  </si>
  <si>
    <t xml:space="preserve">Upload it at /activate</t>
  </si>
  <si>
    <t xml:space="preserve">Licence screen shows Active with the company, plan and device limit</t>
  </si>
  <si>
    <t xml:space="preserve">H4</t>
  </si>
  <si>
    <t xml:space="preserve">A .lic from another machine is refused</t>
  </si>
  <si>
    <t xml:space="preserve">Obtain a .lic issued for a different fingerprint</t>
  </si>
  <si>
    <t xml:space="preserve">Upload it</t>
  </si>
  <si>
    <t xml:space="preserve">Rejected as wrong machine; the install is not licensed by it</t>
  </si>
  <si>
    <t xml:space="preserve">H5</t>
  </si>
  <si>
    <t xml:space="preserve">An offline install stays licensed and fast</t>
  </si>
  <si>
    <t xml:space="preserve">Activated .lic; disconnect the server from the internet</t>
  </si>
  <si>
    <t xml:space="preserve">Use the console normally for 48 hours; note page load times each morning</t>
  </si>
  <si>
    <t xml:space="preserve">No block, no licence error, and NO once-a-day delay on the first page load</t>
  </si>
  <si>
    <t xml:space="preserve">H6</t>
  </si>
  <si>
    <t xml:space="preserve">A random key does not grant permanent access</t>
  </si>
  <si>
    <t xml:space="preserve">No .lic. Type any random string into the Licence screen</t>
  </si>
  <si>
    <t xml:space="preserve">Use the console; then re-check after 8 days (or ask Ametecs to simulate)</t>
  </si>
  <si>
    <t xml:space="preserve">Works briefly, then blocks. It must NOT work indefinitely</t>
  </si>
  <si>
    <t xml:space="preserve">H7</t>
  </si>
  <si>
    <t xml:space="preserve">Evaluation window behaves</t>
  </si>
  <si>
    <t xml:space="preserve">Fresh install, no licence</t>
  </si>
  <si>
    <t xml:space="preserve">Use it; check the licence screen for days remaining</t>
  </si>
  <si>
    <t xml:space="preserve">7-day evaluation, then agent syncing blocks while the console stays reachable for an admin</t>
  </si>
  <si>
    <t xml:space="preserve">H8</t>
  </si>
  <si>
    <t xml:space="preserve">Administrators are never locked out</t>
  </si>
  <si>
    <t xml:space="preserve">Force a blocked licence state</t>
  </si>
  <si>
    <t xml:space="preserve">Sign in as Company Admin, then as an ordinary employee</t>
  </si>
  <si>
    <t xml:space="preserve">Admin gets in (rescue route); the employee is blocked with a clear message</t>
  </si>
  <si>
    <t xml:space="preserve">I1</t>
  </si>
  <si>
    <t xml:space="preserve">The build contains no batch or shell files</t>
  </si>
  <si>
    <t xml:space="preserve">Search the client folder for *.bat, *.sh, *.command</t>
  </si>
  <si>
    <t xml:space="preserve">No results</t>
  </si>
  <si>
    <t xml:space="preserve">I2</t>
  </si>
  <si>
    <t xml:space="preserve">The build contains none of our internal material</t>
  </si>
  <si>
    <t xml:space="preserve">Check for docs/, tests/, deployment/, storage/app/backups, storage/app/smartept</t>
  </si>
  <si>
    <t xml:space="preserve">None present. Only the User Manual may appear under docs</t>
  </si>
  <si>
    <t xml:space="preserve">I3</t>
  </si>
  <si>
    <t xml:space="preserve">The build refuses to ship dev dependencies</t>
  </si>
  <si>
    <t xml:space="preserve">Run composer install (with dev) in the product</t>
  </si>
  <si>
    <t xml:space="preserve">Run make-clientside.php</t>
  </si>
  <si>
    <t xml:space="preserve">Aborts and names phpunit/mockery/fakerphp with the commands to fix it</t>
  </si>
  <si>
    <t xml:space="preserve">I4</t>
  </si>
  <si>
    <t xml:space="preserve">Sync prunes files removed from the product</t>
  </si>
  <si>
    <t xml:space="preserve">Client folder exists from a previous build</t>
  </si>
  <si>
    <t xml:space="preserve">Delete a file in the product, run with --sync</t>
  </si>
  <si>
    <t xml:space="preserve">Pruned count is non-zero; the file is gone from the client folder</t>
  </si>
  <si>
    <t xml:space="preserve">I5</t>
  </si>
  <si>
    <t xml:space="preserve">Sync preserves client-local state</t>
  </si>
  <si>
    <t xml:space="preserve">Client folder has .git, .env, license.lic and storage contents</t>
  </si>
  <si>
    <t xml:space="preserve">Run with --sync</t>
  </si>
  <si>
    <t xml:space="preserve">All four untouched</t>
  </si>
  <si>
    <t xml:space="preserve">I6</t>
  </si>
  <si>
    <t xml:space="preserve">A fresh build boots</t>
  </si>
  <si>
    <t xml:space="preserve">New build on a clean server</t>
  </si>
  <si>
    <t xml:space="preserve">Follow the installation guide end to end</t>
  </si>
  <si>
    <t xml:space="preserve">Console reachable at /admin; an agent registers and reports</t>
  </si>
  <si>
    <t xml:space="preserve">J1</t>
  </si>
  <si>
    <t xml:space="preserve">Toggle switches enforcement off</t>
  </si>
  <si>
    <t xml:space="preserve">Developer machine</t>
  </si>
  <si>
    <t xml:space="preserve">php artisan smartept:licence off, then status</t>
  </si>
  <si>
    <t xml:space="preserve">Reports OFF; licence restrictions lifted locally</t>
  </si>
  <si>
    <t xml:space="preserve">J2</t>
  </si>
  <si>
    <t xml:space="preserve">Toggle switches enforcement back on</t>
  </si>
  <si>
    <t xml:space="preserve">J1 done</t>
  </si>
  <si>
    <t xml:space="preserve">php artisan smartept:licence on, then status</t>
  </si>
  <si>
    <t xml:space="preserve">Reports ON; file removed</t>
  </si>
  <si>
    <t xml:space="preserve">J3</t>
  </si>
  <si>
    <t xml:space="preserve">An empty or invented key file does nothing</t>
  </si>
  <si>
    <t xml:space="preserve">Create licence-off.key by hand containing any text</t>
  </si>
  <si>
    <t xml:space="preserve">php artisan smartept:licence status</t>
  </si>
  <si>
    <t xml:space="preserve">Reports ON and says the file is not valid for this machine</t>
  </si>
  <si>
    <t xml:space="preserve">J4</t>
  </si>
  <si>
    <t xml:space="preserve">The toggle never reaches a client build</t>
  </si>
  <si>
    <t xml:space="preserve">Create the toggle, then run make-clientside.php</t>
  </si>
  <si>
    <t xml:space="preserve">Search the client folder for licence-off.key</t>
  </si>
  <si>
    <t xml:space="preserve">Not present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</si>
</sst>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-mmm\-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75B61"/>
      <name val="Arial"/>
      <family val="0"/>
      <charset val="1"/>
    </font>
    <font>
      <i val="true"/>
      <sz val="10"/>
      <color rgb="FF5A6B7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075B6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.5"/>
      <color rgb="FF5A6B70"/>
      <name val="Arial"/>
      <family val="0"/>
      <charset val="1"/>
    </font>
    <font>
      <b val="true"/>
      <sz val="16"/>
      <color rgb="FF075B6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.5"/>
      <color rgb="FF075B61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1820"/>
        <bgColor rgb="FF000000"/>
      </patternFill>
    </fill>
    <fill>
      <patternFill patternType="solid">
        <fgColor rgb="FFE8F4F5"/>
        <bgColor rgb="FFEFF8F3"/>
      </patternFill>
    </fill>
    <fill>
      <patternFill patternType="solid">
        <fgColor rgb="FFFFF9DB"/>
        <bgColor rgb="FFFFF4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D9"/>
      </left>
      <right style="thin">
        <color rgb="FFCBD5D9"/>
      </right>
      <top style="thin">
        <color rgb="FFCBD5D9"/>
      </top>
      <bottom style="thin">
        <color rgb="FFCBD5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01820"/>
          <bgColor rgb="FF000000"/>
        </patternFill>
      </fill>
    </dxf>
    <dxf>
      <fill>
        <patternFill patternType="solid">
          <fgColor rgb="FFE8F4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75B6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FDECEF"/>
        </patternFill>
      </fill>
    </dxf>
    <dxf>
      <fill>
        <patternFill>
          <bgColor rgb="FFEFF8F3"/>
        </patternFill>
      </fill>
    </dxf>
    <dxf>
      <fill>
        <patternFill>
          <bgColor rgb="FFFFF4E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75B61"/>
      <rgbColor rgb="FFC0C0C0"/>
      <rgbColor rgb="FF808080"/>
      <rgbColor rgb="FF9999FF"/>
      <rgbColor rgb="FF993366"/>
      <rgbColor rgb="FFFFF9DB"/>
      <rgbColor rgb="FFE8F4F5"/>
      <rgbColor rgb="FF660066"/>
      <rgbColor rgb="FFFF8080"/>
      <rgbColor rgb="FF0066CC"/>
      <rgbColor rgb="FFCBD5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8F3"/>
      <rgbColor rgb="FFFDECEF"/>
      <rgbColor rgb="FFFFF4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69696"/>
      <rgbColor rgb="FF003366"/>
      <rgbColor rgb="FF339966"/>
      <rgbColor rgb="FF10182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64"/>
    <col collapsed="false" customWidth="true" hidden="false" outlineLevel="0" max="3" min="3" style="0" width="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f aca="false">COUNT('Automated tests'!A6:A235)</f>
        <v>221</v>
      </c>
    </row>
    <row r="5" customFormat="false" ht="15" hidden="false" customHeight="false" outlineLevel="0" collapsed="false">
      <c r="A5" s="3" t="s">
        <v>3</v>
      </c>
      <c r="B5" s="4" t="n">
        <f aca="false">COUNTA('Manual tests'!A6:A70)-COUNTIF('Manual tests'!A6:A70,"?. *")</f>
        <v>55</v>
      </c>
    </row>
    <row r="6" customFormat="false" ht="15" hidden="false" customHeight="false" outlineLevel="0" collapsed="false">
      <c r="A6" s="3" t="s">
        <v>4</v>
      </c>
      <c r="B6" s="4" t="n">
        <f aca="false">COUNTIF('Manual tests'!G6:G70,"Pass")</f>
        <v>0</v>
      </c>
    </row>
    <row r="7" customFormat="false" ht="15" hidden="false" customHeight="false" outlineLevel="0" collapsed="false">
      <c r="A7" s="3" t="s">
        <v>5</v>
      </c>
      <c r="B7" s="4" t="n">
        <f aca="false">COUNTIF('Manual tests'!G6:G70,"Fail")</f>
        <v>0</v>
      </c>
    </row>
    <row r="8" customFormat="false" ht="15" hidden="false" customHeight="false" outlineLevel="0" collapsed="false">
      <c r="A8" s="3" t="s">
        <v>6</v>
      </c>
      <c r="B8" s="4" t="n">
        <f aca="false">COUNTIF('Manual tests'!G6:G70,"Blocked")</f>
        <v>0</v>
      </c>
    </row>
    <row r="9" customFormat="false" ht="15" hidden="false" customHeight="false" outlineLevel="0" collapsed="false">
      <c r="A9" s="5" t="s">
        <v>7</v>
      </c>
      <c r="B9" s="4" t="n">
        <f aca="false">COUNTIFS('Manual tests'!C6:C70,"Critical",'Manual tests'!G6:G70,"Fail")</f>
        <v>0</v>
      </c>
    </row>
    <row r="12" customFormat="false" ht="16.15" hidden="false" customHeight="false" outlineLevel="0" collapsed="false">
      <c r="A12" s="6" t="s">
        <v>8</v>
      </c>
    </row>
    <row r="13" customFormat="false" ht="15" hidden="false" customHeight="false" outlineLevel="0" collapsed="false">
      <c r="A13" s="7" t="s">
        <v>9</v>
      </c>
      <c r="B13" s="8" t="s">
        <v>10</v>
      </c>
      <c r="C13" s="9" t="n">
        <f aca="false">COUNTIF('Automated tests'!B6:B235,"1")</f>
        <v>41</v>
      </c>
    </row>
    <row r="14" customFormat="false" ht="15" hidden="false" customHeight="false" outlineLevel="0" collapsed="false">
      <c r="A14" s="7" t="s">
        <v>11</v>
      </c>
      <c r="B14" s="8" t="s">
        <v>12</v>
      </c>
      <c r="C14" s="9" t="n">
        <f aca="false">COUNTIF('Automated tests'!B6:B235,"2")</f>
        <v>43</v>
      </c>
    </row>
    <row r="15" customFormat="false" ht="15" hidden="false" customHeight="false" outlineLevel="0" collapsed="false">
      <c r="A15" s="7" t="s">
        <v>13</v>
      </c>
      <c r="B15" s="8" t="s">
        <v>14</v>
      </c>
      <c r="C15" s="9" t="n">
        <f aca="false">COUNTIF('Automated tests'!B6:B235,"3")</f>
        <v>27</v>
      </c>
    </row>
    <row r="16" customFormat="false" ht="15" hidden="false" customHeight="false" outlineLevel="0" collapsed="false">
      <c r="A16" s="7" t="s">
        <v>15</v>
      </c>
      <c r="B16" s="8" t="s">
        <v>16</v>
      </c>
      <c r="C16" s="9" t="n">
        <f aca="false">COUNTIF('Automated tests'!B6:B235,"4")</f>
        <v>22</v>
      </c>
    </row>
    <row r="17" customFormat="false" ht="15" hidden="false" customHeight="false" outlineLevel="0" collapsed="false">
      <c r="A17" s="7" t="s">
        <v>17</v>
      </c>
      <c r="B17" s="8" t="s">
        <v>18</v>
      </c>
      <c r="C17" s="9" t="n">
        <f aca="false">COUNTIF('Automated tests'!B6:B235,"5")</f>
        <v>12</v>
      </c>
    </row>
    <row r="18" customFormat="false" ht="15" hidden="false" customHeight="false" outlineLevel="0" collapsed="false">
      <c r="A18" s="7" t="s">
        <v>19</v>
      </c>
      <c r="B18" s="8" t="s">
        <v>20</v>
      </c>
      <c r="C18" s="9" t="n">
        <f aca="false">COUNTIF('Automated tests'!B6:B235,"6")</f>
        <v>36</v>
      </c>
    </row>
    <row r="19" customFormat="false" ht="15" hidden="false" customHeight="false" outlineLevel="0" collapsed="false">
      <c r="A19" s="7" t="s">
        <v>21</v>
      </c>
      <c r="B19" s="8" t="s">
        <v>22</v>
      </c>
      <c r="C19" s="9" t="n">
        <f aca="false">COUNTIF('Automated tests'!B6:B235,"7")</f>
        <v>9</v>
      </c>
    </row>
    <row r="20" customFormat="false" ht="15" hidden="false" customHeight="false" outlineLevel="0" collapsed="false">
      <c r="A20" s="7" t="s">
        <v>23</v>
      </c>
      <c r="B20" s="8" t="s">
        <v>24</v>
      </c>
      <c r="C20" s="9" t="n">
        <f aca="false">COUNTIF('Automated tests'!B6:B235,"8")</f>
        <v>8</v>
      </c>
    </row>
    <row r="21" customFormat="false" ht="15" hidden="false" customHeight="false" outlineLevel="0" collapsed="false">
      <c r="A21" s="7" t="s">
        <v>25</v>
      </c>
      <c r="B21" s="8" t="s">
        <v>26</v>
      </c>
      <c r="C21" s="9" t="n">
        <f aca="false">COUNTIF('Automated tests'!B6:B235,"9")</f>
        <v>23</v>
      </c>
    </row>
    <row r="22" customFormat="false" ht="15" hidden="false" customHeight="false" outlineLevel="0" collapsed="false">
      <c r="A22" s="7" t="s">
        <v>27</v>
      </c>
      <c r="B22" s="2" t="s">
        <v>28</v>
      </c>
      <c r="C22" s="9" t="n">
        <v>5</v>
      </c>
    </row>
    <row r="23" customFormat="false" ht="15" hidden="false" customHeight="false" outlineLevel="0" collapsed="false">
      <c r="A23" s="7" t="s">
        <v>29</v>
      </c>
      <c r="B23" s="2" t="s">
        <v>28</v>
      </c>
      <c r="C23" s="9" t="n">
        <v>6</v>
      </c>
    </row>
    <row r="24" customFormat="false" ht="15" hidden="false" customHeight="false" outlineLevel="0" collapsed="false">
      <c r="A24" s="7" t="s">
        <v>30</v>
      </c>
      <c r="B24" s="2" t="s">
        <v>28</v>
      </c>
      <c r="C24" s="9" t="n">
        <v>5</v>
      </c>
    </row>
    <row r="25" customFormat="false" ht="15" hidden="false" customHeight="false" outlineLevel="0" collapsed="false">
      <c r="A25" s="7" t="s">
        <v>31</v>
      </c>
      <c r="B25" s="2" t="s">
        <v>28</v>
      </c>
      <c r="C25" s="9" t="n">
        <v>7</v>
      </c>
    </row>
    <row r="26" customFormat="false" ht="15" hidden="false" customHeight="false" outlineLevel="0" collapsed="false">
      <c r="A26" s="7" t="s">
        <v>32</v>
      </c>
      <c r="B26" s="2" t="s">
        <v>28</v>
      </c>
      <c r="C26" s="9" t="n">
        <v>4</v>
      </c>
    </row>
    <row r="27" customFormat="false" ht="15" hidden="false" customHeight="false" outlineLevel="0" collapsed="false">
      <c r="A27" s="7" t="s">
        <v>33</v>
      </c>
      <c r="B27" s="2" t="s">
        <v>28</v>
      </c>
      <c r="C27" s="9" t="n">
        <v>6</v>
      </c>
    </row>
    <row r="28" customFormat="false" ht="15" hidden="false" customHeight="false" outlineLevel="0" collapsed="false">
      <c r="A28" s="7" t="s">
        <v>34</v>
      </c>
      <c r="B28" s="2" t="s">
        <v>28</v>
      </c>
      <c r="C28" s="9" t="n">
        <v>4</v>
      </c>
    </row>
    <row r="29" customFormat="false" ht="15" hidden="false" customHeight="false" outlineLevel="0" collapsed="false">
      <c r="A29" s="7" t="s">
        <v>35</v>
      </c>
      <c r="B29" s="2" t="s">
        <v>28</v>
      </c>
      <c r="C29" s="9" t="n">
        <v>8</v>
      </c>
    </row>
    <row r="30" customFormat="false" ht="15" hidden="false" customHeight="false" outlineLevel="0" collapsed="false">
      <c r="A30" s="7" t="s">
        <v>36</v>
      </c>
      <c r="B30" s="2" t="s">
        <v>28</v>
      </c>
      <c r="C30" s="9" t="n">
        <v>6</v>
      </c>
    </row>
    <row r="31" customFormat="false" ht="15" hidden="false" customHeight="false" outlineLevel="0" collapsed="false">
      <c r="A31" s="7" t="s">
        <v>37</v>
      </c>
      <c r="B31" s="2" t="s">
        <v>28</v>
      </c>
      <c r="C31" s="9" t="n">
        <v>4</v>
      </c>
    </row>
    <row r="33" customFormat="false" ht="15" hidden="false" customHeight="false" outlineLevel="0" collapsed="false">
      <c r="A33" s="1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30"/>
    <col collapsed="false" customWidth="true" hidden="false" outlineLevel="0" max="4" min="4" style="0" width="78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19.7" hidden="false" customHeight="false" outlineLevel="0" collapsed="false">
      <c r="A1" s="11" t="s">
        <v>39</v>
      </c>
    </row>
    <row r="2" customFormat="false" ht="15" hidden="false" customHeight="false" outlineLevel="0" collapsed="false">
      <c r="A2" s="10" t="s">
        <v>40</v>
      </c>
    </row>
    <row r="3" customFormat="false" ht="15" hidden="false" customHeight="false" outlineLevel="0" collapsed="false">
      <c r="A3" s="10" t="s">
        <v>41</v>
      </c>
    </row>
    <row r="5" customFormat="false" ht="24" hidden="false" customHeight="true" outlineLevel="0" collapsed="false">
      <c r="A5" s="12" t="s">
        <v>42</v>
      </c>
      <c r="B5" s="12" t="s">
        <v>43</v>
      </c>
      <c r="C5" s="12" t="s">
        <v>44</v>
      </c>
      <c r="D5" s="12" t="s">
        <v>45</v>
      </c>
      <c r="E5" s="12" t="s">
        <v>46</v>
      </c>
      <c r="F5" s="12" t="s">
        <v>47</v>
      </c>
    </row>
    <row r="6" customFormat="false" ht="15" hidden="false" customHeight="false" outlineLevel="0" collapsed="false">
      <c r="A6" s="13" t="s">
        <v>48</v>
      </c>
      <c r="B6" s="13"/>
      <c r="C6" s="13"/>
      <c r="D6" s="13"/>
      <c r="E6" s="13"/>
      <c r="F6" s="13"/>
    </row>
    <row r="7" customFormat="false" ht="15" hidden="false" customHeight="true" outlineLevel="0" collapsed="false">
      <c r="A7" s="14" t="n">
        <v>1</v>
      </c>
      <c r="B7" s="14" t="s">
        <v>49</v>
      </c>
      <c r="C7" s="14" t="s">
        <v>50</v>
      </c>
      <c r="D7" s="14" t="s">
        <v>51</v>
      </c>
      <c r="E7" s="15"/>
      <c r="F7" s="15"/>
    </row>
    <row r="8" customFormat="false" ht="15" hidden="false" customHeight="true" outlineLevel="0" collapsed="false">
      <c r="A8" s="14" t="n">
        <v>2</v>
      </c>
      <c r="B8" s="14" t="s">
        <v>49</v>
      </c>
      <c r="C8" s="14" t="s">
        <v>50</v>
      </c>
      <c r="D8" s="14" t="s">
        <v>52</v>
      </c>
      <c r="E8" s="15"/>
      <c r="F8" s="15"/>
    </row>
    <row r="9" customFormat="false" ht="15" hidden="false" customHeight="true" outlineLevel="0" collapsed="false">
      <c r="A9" s="14" t="n">
        <v>3</v>
      </c>
      <c r="B9" s="14" t="s">
        <v>49</v>
      </c>
      <c r="C9" s="14" t="s">
        <v>50</v>
      </c>
      <c r="D9" s="14" t="s">
        <v>53</v>
      </c>
      <c r="E9" s="15"/>
      <c r="F9" s="15"/>
    </row>
    <row r="10" customFormat="false" ht="15" hidden="false" customHeight="true" outlineLevel="0" collapsed="false">
      <c r="A10" s="14" t="n">
        <v>4</v>
      </c>
      <c r="B10" s="14" t="s">
        <v>49</v>
      </c>
      <c r="C10" s="14" t="s">
        <v>50</v>
      </c>
      <c r="D10" s="14" t="s">
        <v>54</v>
      </c>
      <c r="E10" s="15"/>
      <c r="F10" s="15"/>
    </row>
    <row r="11" customFormat="false" ht="15" hidden="false" customHeight="true" outlineLevel="0" collapsed="false">
      <c r="A11" s="14" t="n">
        <v>5</v>
      </c>
      <c r="B11" s="14" t="s">
        <v>49</v>
      </c>
      <c r="C11" s="14" t="s">
        <v>50</v>
      </c>
      <c r="D11" s="14" t="s">
        <v>55</v>
      </c>
      <c r="E11" s="15"/>
      <c r="F11" s="15"/>
    </row>
    <row r="12" customFormat="false" ht="15" hidden="false" customHeight="true" outlineLevel="0" collapsed="false">
      <c r="A12" s="14" t="n">
        <v>6</v>
      </c>
      <c r="B12" s="14" t="s">
        <v>49</v>
      </c>
      <c r="C12" s="14" t="s">
        <v>50</v>
      </c>
      <c r="D12" s="14" t="s">
        <v>56</v>
      </c>
      <c r="E12" s="15"/>
      <c r="F12" s="15"/>
    </row>
    <row r="13" customFormat="false" ht="15" hidden="false" customHeight="true" outlineLevel="0" collapsed="false">
      <c r="A13" s="14" t="n">
        <v>7</v>
      </c>
      <c r="B13" s="14" t="s">
        <v>49</v>
      </c>
      <c r="C13" s="14" t="s">
        <v>50</v>
      </c>
      <c r="D13" s="14" t="s">
        <v>57</v>
      </c>
      <c r="E13" s="15"/>
      <c r="F13" s="15"/>
    </row>
    <row r="14" customFormat="false" ht="15" hidden="false" customHeight="true" outlineLevel="0" collapsed="false">
      <c r="A14" s="14" t="n">
        <v>8</v>
      </c>
      <c r="B14" s="14" t="s">
        <v>49</v>
      </c>
      <c r="C14" s="14" t="s">
        <v>50</v>
      </c>
      <c r="D14" s="14" t="s">
        <v>58</v>
      </c>
      <c r="E14" s="15"/>
      <c r="F14" s="15"/>
    </row>
    <row r="15" customFormat="false" ht="15" hidden="false" customHeight="true" outlineLevel="0" collapsed="false">
      <c r="A15" s="14" t="n">
        <v>9</v>
      </c>
      <c r="B15" s="14" t="s">
        <v>49</v>
      </c>
      <c r="C15" s="14" t="s">
        <v>50</v>
      </c>
      <c r="D15" s="14" t="s">
        <v>59</v>
      </c>
      <c r="E15" s="15"/>
      <c r="F15" s="15"/>
    </row>
    <row r="16" customFormat="false" ht="15" hidden="false" customHeight="true" outlineLevel="0" collapsed="false">
      <c r="A16" s="14" t="n">
        <v>10</v>
      </c>
      <c r="B16" s="14" t="s">
        <v>49</v>
      </c>
      <c r="C16" s="14" t="s">
        <v>60</v>
      </c>
      <c r="D16" s="14" t="s">
        <v>61</v>
      </c>
      <c r="E16" s="15"/>
      <c r="F16" s="15"/>
    </row>
    <row r="17" customFormat="false" ht="15" hidden="false" customHeight="true" outlineLevel="0" collapsed="false">
      <c r="A17" s="14" t="n">
        <v>11</v>
      </c>
      <c r="B17" s="14" t="s">
        <v>49</v>
      </c>
      <c r="C17" s="14" t="s">
        <v>60</v>
      </c>
      <c r="D17" s="14" t="s">
        <v>62</v>
      </c>
      <c r="E17" s="15"/>
      <c r="F17" s="15"/>
    </row>
    <row r="18" customFormat="false" ht="15" hidden="false" customHeight="true" outlineLevel="0" collapsed="false">
      <c r="A18" s="14" t="n">
        <v>12</v>
      </c>
      <c r="B18" s="14" t="s">
        <v>49</v>
      </c>
      <c r="C18" s="14" t="s">
        <v>60</v>
      </c>
      <c r="D18" s="14" t="s">
        <v>63</v>
      </c>
      <c r="E18" s="15"/>
      <c r="F18" s="15"/>
    </row>
    <row r="19" customFormat="false" ht="15" hidden="false" customHeight="true" outlineLevel="0" collapsed="false">
      <c r="A19" s="14" t="n">
        <v>13</v>
      </c>
      <c r="B19" s="14" t="s">
        <v>49</v>
      </c>
      <c r="C19" s="14" t="s">
        <v>60</v>
      </c>
      <c r="D19" s="14" t="s">
        <v>64</v>
      </c>
      <c r="E19" s="15"/>
      <c r="F19" s="15"/>
    </row>
    <row r="20" customFormat="false" ht="15" hidden="false" customHeight="true" outlineLevel="0" collapsed="false">
      <c r="A20" s="14" t="n">
        <v>14</v>
      </c>
      <c r="B20" s="14" t="s">
        <v>49</v>
      </c>
      <c r="C20" s="14" t="s">
        <v>60</v>
      </c>
      <c r="D20" s="14" t="s">
        <v>65</v>
      </c>
      <c r="E20" s="15"/>
      <c r="F20" s="15"/>
    </row>
    <row r="21" customFormat="false" ht="15" hidden="false" customHeight="true" outlineLevel="0" collapsed="false">
      <c r="A21" s="14" t="n">
        <v>15</v>
      </c>
      <c r="B21" s="14" t="s">
        <v>49</v>
      </c>
      <c r="C21" s="14" t="s">
        <v>60</v>
      </c>
      <c r="D21" s="14" t="s">
        <v>66</v>
      </c>
      <c r="E21" s="15"/>
      <c r="F21" s="15"/>
    </row>
    <row r="22" customFormat="false" ht="15" hidden="false" customHeight="true" outlineLevel="0" collapsed="false">
      <c r="A22" s="14" t="n">
        <v>16</v>
      </c>
      <c r="B22" s="14" t="s">
        <v>49</v>
      </c>
      <c r="C22" s="14" t="s">
        <v>60</v>
      </c>
      <c r="D22" s="14" t="s">
        <v>67</v>
      </c>
      <c r="E22" s="15"/>
      <c r="F22" s="15"/>
    </row>
    <row r="23" customFormat="false" ht="15" hidden="false" customHeight="true" outlineLevel="0" collapsed="false">
      <c r="A23" s="14" t="n">
        <v>17</v>
      </c>
      <c r="B23" s="14" t="s">
        <v>49</v>
      </c>
      <c r="C23" s="14" t="s">
        <v>60</v>
      </c>
      <c r="D23" s="14" t="s">
        <v>68</v>
      </c>
      <c r="E23" s="15"/>
      <c r="F23" s="15"/>
    </row>
    <row r="24" customFormat="false" ht="15" hidden="false" customHeight="true" outlineLevel="0" collapsed="false">
      <c r="A24" s="14" t="n">
        <v>18</v>
      </c>
      <c r="B24" s="14" t="s">
        <v>49</v>
      </c>
      <c r="C24" s="14" t="s">
        <v>60</v>
      </c>
      <c r="D24" s="14" t="s">
        <v>69</v>
      </c>
      <c r="E24" s="15"/>
      <c r="F24" s="15"/>
    </row>
    <row r="25" customFormat="false" ht="15" hidden="false" customHeight="true" outlineLevel="0" collapsed="false">
      <c r="A25" s="14" t="n">
        <v>19</v>
      </c>
      <c r="B25" s="14" t="s">
        <v>49</v>
      </c>
      <c r="C25" s="14" t="s">
        <v>60</v>
      </c>
      <c r="D25" s="14" t="s">
        <v>70</v>
      </c>
      <c r="E25" s="15"/>
      <c r="F25" s="15"/>
    </row>
    <row r="26" customFormat="false" ht="15" hidden="false" customHeight="true" outlineLevel="0" collapsed="false">
      <c r="A26" s="14" t="n">
        <v>20</v>
      </c>
      <c r="B26" s="14" t="s">
        <v>49</v>
      </c>
      <c r="C26" s="14" t="s">
        <v>60</v>
      </c>
      <c r="D26" s="14" t="s">
        <v>71</v>
      </c>
      <c r="E26" s="15"/>
      <c r="F26" s="15"/>
    </row>
    <row r="27" customFormat="false" ht="15" hidden="false" customHeight="true" outlineLevel="0" collapsed="false">
      <c r="A27" s="14" t="n">
        <v>21</v>
      </c>
      <c r="B27" s="14" t="s">
        <v>49</v>
      </c>
      <c r="C27" s="14" t="s">
        <v>72</v>
      </c>
      <c r="D27" s="14" t="s">
        <v>73</v>
      </c>
      <c r="E27" s="15"/>
      <c r="F27" s="15"/>
    </row>
    <row r="28" customFormat="false" ht="15" hidden="false" customHeight="true" outlineLevel="0" collapsed="false">
      <c r="A28" s="14" t="n">
        <v>22</v>
      </c>
      <c r="B28" s="14" t="s">
        <v>49</v>
      </c>
      <c r="C28" s="14" t="s">
        <v>72</v>
      </c>
      <c r="D28" s="14" t="s">
        <v>74</v>
      </c>
      <c r="E28" s="15"/>
      <c r="F28" s="15"/>
    </row>
    <row r="29" customFormat="false" ht="15" hidden="false" customHeight="true" outlineLevel="0" collapsed="false">
      <c r="A29" s="14" t="n">
        <v>23</v>
      </c>
      <c r="B29" s="14" t="s">
        <v>49</v>
      </c>
      <c r="C29" s="14" t="s">
        <v>72</v>
      </c>
      <c r="D29" s="14" t="s">
        <v>75</v>
      </c>
      <c r="E29" s="15"/>
      <c r="F29" s="15"/>
    </row>
    <row r="30" customFormat="false" ht="15" hidden="false" customHeight="true" outlineLevel="0" collapsed="false">
      <c r="A30" s="14" t="n">
        <v>24</v>
      </c>
      <c r="B30" s="14" t="s">
        <v>49</v>
      </c>
      <c r="C30" s="14" t="s">
        <v>72</v>
      </c>
      <c r="D30" s="14" t="s">
        <v>76</v>
      </c>
      <c r="E30" s="15"/>
      <c r="F30" s="15"/>
    </row>
    <row r="31" customFormat="false" ht="15" hidden="false" customHeight="true" outlineLevel="0" collapsed="false">
      <c r="A31" s="14" t="n">
        <v>25</v>
      </c>
      <c r="B31" s="14" t="s">
        <v>49</v>
      </c>
      <c r="C31" s="14" t="s">
        <v>72</v>
      </c>
      <c r="D31" s="14" t="s">
        <v>77</v>
      </c>
      <c r="E31" s="15"/>
      <c r="F31" s="15"/>
    </row>
    <row r="32" customFormat="false" ht="15" hidden="false" customHeight="true" outlineLevel="0" collapsed="false">
      <c r="A32" s="14" t="n">
        <v>26</v>
      </c>
      <c r="B32" s="14" t="s">
        <v>49</v>
      </c>
      <c r="C32" s="14" t="s">
        <v>78</v>
      </c>
      <c r="D32" s="14" t="s">
        <v>79</v>
      </c>
      <c r="E32" s="15"/>
      <c r="F32" s="15"/>
    </row>
    <row r="33" customFormat="false" ht="15" hidden="false" customHeight="true" outlineLevel="0" collapsed="false">
      <c r="A33" s="14" t="n">
        <v>27</v>
      </c>
      <c r="B33" s="14" t="s">
        <v>49</v>
      </c>
      <c r="C33" s="14" t="s">
        <v>78</v>
      </c>
      <c r="D33" s="14" t="s">
        <v>80</v>
      </c>
      <c r="E33" s="15"/>
      <c r="F33" s="15"/>
    </row>
    <row r="34" customFormat="false" ht="15" hidden="false" customHeight="true" outlineLevel="0" collapsed="false">
      <c r="A34" s="14" t="n">
        <v>28</v>
      </c>
      <c r="B34" s="14" t="s">
        <v>49</v>
      </c>
      <c r="C34" s="14" t="s">
        <v>78</v>
      </c>
      <c r="D34" s="14" t="s">
        <v>81</v>
      </c>
      <c r="E34" s="15"/>
      <c r="F34" s="15"/>
    </row>
    <row r="35" customFormat="false" ht="15" hidden="false" customHeight="true" outlineLevel="0" collapsed="false">
      <c r="A35" s="14" t="n">
        <v>29</v>
      </c>
      <c r="B35" s="14" t="s">
        <v>49</v>
      </c>
      <c r="C35" s="14" t="s">
        <v>78</v>
      </c>
      <c r="D35" s="14" t="s">
        <v>82</v>
      </c>
      <c r="E35" s="15"/>
      <c r="F35" s="15"/>
    </row>
    <row r="36" customFormat="false" ht="15" hidden="false" customHeight="true" outlineLevel="0" collapsed="false">
      <c r="A36" s="14" t="n">
        <v>30</v>
      </c>
      <c r="B36" s="14" t="s">
        <v>49</v>
      </c>
      <c r="C36" s="14" t="s">
        <v>78</v>
      </c>
      <c r="D36" s="14" t="s">
        <v>83</v>
      </c>
      <c r="E36" s="15"/>
      <c r="F36" s="15"/>
    </row>
    <row r="37" customFormat="false" ht="15" hidden="false" customHeight="true" outlineLevel="0" collapsed="false">
      <c r="A37" s="14" t="n">
        <v>31</v>
      </c>
      <c r="B37" s="14" t="s">
        <v>49</v>
      </c>
      <c r="C37" s="14" t="s">
        <v>78</v>
      </c>
      <c r="D37" s="14" t="s">
        <v>84</v>
      </c>
      <c r="E37" s="15"/>
      <c r="F37" s="15"/>
    </row>
    <row r="38" customFormat="false" ht="15" hidden="false" customHeight="true" outlineLevel="0" collapsed="false">
      <c r="A38" s="14" t="n">
        <v>32</v>
      </c>
      <c r="B38" s="14" t="s">
        <v>49</v>
      </c>
      <c r="C38" s="14" t="s">
        <v>78</v>
      </c>
      <c r="D38" s="14" t="s">
        <v>85</v>
      </c>
      <c r="E38" s="15"/>
      <c r="F38" s="15"/>
    </row>
    <row r="39" customFormat="false" ht="15" hidden="false" customHeight="true" outlineLevel="0" collapsed="false">
      <c r="A39" s="14" t="n">
        <v>33</v>
      </c>
      <c r="B39" s="14" t="s">
        <v>49</v>
      </c>
      <c r="C39" s="14" t="s">
        <v>78</v>
      </c>
      <c r="D39" s="14" t="s">
        <v>86</v>
      </c>
      <c r="E39" s="15"/>
      <c r="F39" s="15"/>
    </row>
    <row r="40" customFormat="false" ht="15" hidden="false" customHeight="true" outlineLevel="0" collapsed="false">
      <c r="A40" s="14" t="n">
        <v>34</v>
      </c>
      <c r="B40" s="14" t="s">
        <v>49</v>
      </c>
      <c r="C40" s="14" t="s">
        <v>87</v>
      </c>
      <c r="D40" s="14" t="s">
        <v>88</v>
      </c>
      <c r="E40" s="15"/>
      <c r="F40" s="15"/>
    </row>
    <row r="41" customFormat="false" ht="15" hidden="false" customHeight="true" outlineLevel="0" collapsed="false">
      <c r="A41" s="14" t="n">
        <v>35</v>
      </c>
      <c r="B41" s="14" t="s">
        <v>49</v>
      </c>
      <c r="C41" s="14" t="s">
        <v>87</v>
      </c>
      <c r="D41" s="14" t="s">
        <v>89</v>
      </c>
      <c r="E41" s="15"/>
      <c r="F41" s="15"/>
    </row>
    <row r="42" customFormat="false" ht="15" hidden="false" customHeight="true" outlineLevel="0" collapsed="false">
      <c r="A42" s="14" t="n">
        <v>36</v>
      </c>
      <c r="B42" s="14" t="s">
        <v>49</v>
      </c>
      <c r="C42" s="14" t="s">
        <v>87</v>
      </c>
      <c r="D42" s="14" t="s">
        <v>90</v>
      </c>
      <c r="E42" s="15"/>
      <c r="F42" s="15"/>
    </row>
    <row r="43" customFormat="false" ht="15" hidden="false" customHeight="true" outlineLevel="0" collapsed="false">
      <c r="A43" s="14" t="n">
        <v>37</v>
      </c>
      <c r="B43" s="14" t="s">
        <v>49</v>
      </c>
      <c r="C43" s="14" t="s">
        <v>87</v>
      </c>
      <c r="D43" s="14" t="s">
        <v>91</v>
      </c>
      <c r="E43" s="15"/>
      <c r="F43" s="15"/>
    </row>
    <row r="44" customFormat="false" ht="15" hidden="false" customHeight="true" outlineLevel="0" collapsed="false">
      <c r="A44" s="14" t="n">
        <v>38</v>
      </c>
      <c r="B44" s="14" t="s">
        <v>49</v>
      </c>
      <c r="C44" s="14" t="s">
        <v>87</v>
      </c>
      <c r="D44" s="14" t="s">
        <v>92</v>
      </c>
      <c r="E44" s="15"/>
      <c r="F44" s="15"/>
    </row>
    <row r="45" customFormat="false" ht="15" hidden="false" customHeight="true" outlineLevel="0" collapsed="false">
      <c r="A45" s="14" t="n">
        <v>39</v>
      </c>
      <c r="B45" s="14" t="s">
        <v>49</v>
      </c>
      <c r="C45" s="14" t="s">
        <v>87</v>
      </c>
      <c r="D45" s="14" t="s">
        <v>93</v>
      </c>
      <c r="E45" s="15"/>
      <c r="F45" s="15"/>
    </row>
    <row r="46" customFormat="false" ht="15" hidden="false" customHeight="true" outlineLevel="0" collapsed="false">
      <c r="A46" s="14" t="n">
        <v>40</v>
      </c>
      <c r="B46" s="14" t="s">
        <v>49</v>
      </c>
      <c r="C46" s="14" t="s">
        <v>87</v>
      </c>
      <c r="D46" s="14" t="s">
        <v>94</v>
      </c>
      <c r="E46" s="15"/>
      <c r="F46" s="15"/>
    </row>
    <row r="47" customFormat="false" ht="15" hidden="false" customHeight="true" outlineLevel="0" collapsed="false">
      <c r="A47" s="14" t="n">
        <v>41</v>
      </c>
      <c r="B47" s="14" t="s">
        <v>49</v>
      </c>
      <c r="C47" s="14" t="s">
        <v>87</v>
      </c>
      <c r="D47" s="14" t="s">
        <v>95</v>
      </c>
      <c r="E47" s="15"/>
      <c r="F47" s="15"/>
    </row>
    <row r="48" customFormat="false" ht="15" hidden="false" customHeight="false" outlineLevel="0" collapsed="false">
      <c r="A48" s="13" t="s">
        <v>96</v>
      </c>
      <c r="B48" s="13"/>
      <c r="C48" s="13"/>
      <c r="D48" s="13"/>
      <c r="E48" s="13"/>
      <c r="F48" s="13"/>
    </row>
    <row r="49" customFormat="false" ht="15" hidden="false" customHeight="true" outlineLevel="0" collapsed="false">
      <c r="A49" s="14" t="n">
        <v>42</v>
      </c>
      <c r="B49" s="14" t="s">
        <v>97</v>
      </c>
      <c r="C49" s="14" t="s">
        <v>98</v>
      </c>
      <c r="D49" s="14" t="s">
        <v>99</v>
      </c>
      <c r="E49" s="15"/>
      <c r="F49" s="15"/>
    </row>
    <row r="50" customFormat="false" ht="15" hidden="false" customHeight="true" outlineLevel="0" collapsed="false">
      <c r="A50" s="14" t="n">
        <v>43</v>
      </c>
      <c r="B50" s="14" t="s">
        <v>97</v>
      </c>
      <c r="C50" s="14" t="s">
        <v>98</v>
      </c>
      <c r="D50" s="14" t="s">
        <v>100</v>
      </c>
      <c r="E50" s="15"/>
      <c r="F50" s="15"/>
    </row>
    <row r="51" customFormat="false" ht="15" hidden="false" customHeight="true" outlineLevel="0" collapsed="false">
      <c r="A51" s="14" t="n">
        <v>44</v>
      </c>
      <c r="B51" s="14" t="s">
        <v>97</v>
      </c>
      <c r="C51" s="14" t="s">
        <v>98</v>
      </c>
      <c r="D51" s="14" t="s">
        <v>101</v>
      </c>
      <c r="E51" s="15"/>
      <c r="F51" s="15"/>
    </row>
    <row r="52" customFormat="false" ht="15" hidden="false" customHeight="true" outlineLevel="0" collapsed="false">
      <c r="A52" s="14" t="n">
        <v>45</v>
      </c>
      <c r="B52" s="14" t="s">
        <v>97</v>
      </c>
      <c r="C52" s="14" t="s">
        <v>98</v>
      </c>
      <c r="D52" s="14" t="s">
        <v>102</v>
      </c>
      <c r="E52" s="15"/>
      <c r="F52" s="15"/>
    </row>
    <row r="53" customFormat="false" ht="15" hidden="false" customHeight="true" outlineLevel="0" collapsed="false">
      <c r="A53" s="14" t="n">
        <v>46</v>
      </c>
      <c r="B53" s="14" t="s">
        <v>97</v>
      </c>
      <c r="C53" s="14" t="s">
        <v>98</v>
      </c>
      <c r="D53" s="14" t="s">
        <v>103</v>
      </c>
      <c r="E53" s="15"/>
      <c r="F53" s="15"/>
    </row>
    <row r="54" customFormat="false" ht="15" hidden="false" customHeight="true" outlineLevel="0" collapsed="false">
      <c r="A54" s="14" t="n">
        <v>47</v>
      </c>
      <c r="B54" s="14" t="s">
        <v>97</v>
      </c>
      <c r="C54" s="14" t="s">
        <v>98</v>
      </c>
      <c r="D54" s="14" t="s">
        <v>104</v>
      </c>
      <c r="E54" s="15"/>
      <c r="F54" s="15"/>
    </row>
    <row r="55" customFormat="false" ht="15" hidden="false" customHeight="true" outlineLevel="0" collapsed="false">
      <c r="A55" s="14" t="n">
        <v>48</v>
      </c>
      <c r="B55" s="14" t="s">
        <v>97</v>
      </c>
      <c r="C55" s="14" t="s">
        <v>98</v>
      </c>
      <c r="D55" s="14" t="s">
        <v>105</v>
      </c>
      <c r="E55" s="15"/>
      <c r="F55" s="15"/>
    </row>
    <row r="56" customFormat="false" ht="15" hidden="false" customHeight="true" outlineLevel="0" collapsed="false">
      <c r="A56" s="14" t="n">
        <v>49</v>
      </c>
      <c r="B56" s="14" t="s">
        <v>97</v>
      </c>
      <c r="C56" s="14" t="s">
        <v>98</v>
      </c>
      <c r="D56" s="14" t="s">
        <v>106</v>
      </c>
      <c r="E56" s="15"/>
      <c r="F56" s="15"/>
    </row>
    <row r="57" customFormat="false" ht="15" hidden="false" customHeight="true" outlineLevel="0" collapsed="false">
      <c r="A57" s="14" t="n">
        <v>50</v>
      </c>
      <c r="B57" s="14" t="s">
        <v>97</v>
      </c>
      <c r="C57" s="14" t="s">
        <v>98</v>
      </c>
      <c r="D57" s="14" t="s">
        <v>107</v>
      </c>
      <c r="E57" s="15"/>
      <c r="F57" s="15"/>
    </row>
    <row r="58" customFormat="false" ht="15" hidden="false" customHeight="true" outlineLevel="0" collapsed="false">
      <c r="A58" s="14" t="n">
        <v>51</v>
      </c>
      <c r="B58" s="14" t="s">
        <v>97</v>
      </c>
      <c r="C58" s="14" t="s">
        <v>108</v>
      </c>
      <c r="D58" s="14" t="s">
        <v>109</v>
      </c>
      <c r="E58" s="15"/>
      <c r="F58" s="15"/>
    </row>
    <row r="59" customFormat="false" ht="15" hidden="false" customHeight="true" outlineLevel="0" collapsed="false">
      <c r="A59" s="14" t="n">
        <v>52</v>
      </c>
      <c r="B59" s="14" t="s">
        <v>97</v>
      </c>
      <c r="C59" s="14" t="s">
        <v>108</v>
      </c>
      <c r="D59" s="14" t="s">
        <v>110</v>
      </c>
      <c r="E59" s="15"/>
      <c r="F59" s="15"/>
    </row>
    <row r="60" customFormat="false" ht="15" hidden="false" customHeight="true" outlineLevel="0" collapsed="false">
      <c r="A60" s="14" t="n">
        <v>53</v>
      </c>
      <c r="B60" s="14" t="s">
        <v>97</v>
      </c>
      <c r="C60" s="14" t="s">
        <v>108</v>
      </c>
      <c r="D60" s="14" t="s">
        <v>111</v>
      </c>
      <c r="E60" s="15"/>
      <c r="F60" s="15"/>
    </row>
    <row r="61" customFormat="false" ht="15" hidden="false" customHeight="true" outlineLevel="0" collapsed="false">
      <c r="A61" s="14" t="n">
        <v>54</v>
      </c>
      <c r="B61" s="14" t="s">
        <v>97</v>
      </c>
      <c r="C61" s="14" t="s">
        <v>108</v>
      </c>
      <c r="D61" s="14" t="s">
        <v>112</v>
      </c>
      <c r="E61" s="15"/>
      <c r="F61" s="15"/>
    </row>
    <row r="62" customFormat="false" ht="15" hidden="false" customHeight="true" outlineLevel="0" collapsed="false">
      <c r="A62" s="14" t="n">
        <v>55</v>
      </c>
      <c r="B62" s="14" t="s">
        <v>97</v>
      </c>
      <c r="C62" s="14" t="s">
        <v>108</v>
      </c>
      <c r="D62" s="14" t="s">
        <v>113</v>
      </c>
      <c r="E62" s="15"/>
      <c r="F62" s="15"/>
    </row>
    <row r="63" customFormat="false" ht="15" hidden="false" customHeight="true" outlineLevel="0" collapsed="false">
      <c r="A63" s="14" t="n">
        <v>56</v>
      </c>
      <c r="B63" s="14" t="s">
        <v>97</v>
      </c>
      <c r="C63" s="14" t="s">
        <v>108</v>
      </c>
      <c r="D63" s="14" t="s">
        <v>114</v>
      </c>
      <c r="E63" s="15"/>
      <c r="F63" s="15"/>
    </row>
    <row r="64" customFormat="false" ht="15" hidden="false" customHeight="true" outlineLevel="0" collapsed="false">
      <c r="A64" s="14" t="n">
        <v>57</v>
      </c>
      <c r="B64" s="14" t="s">
        <v>97</v>
      </c>
      <c r="C64" s="14" t="s">
        <v>108</v>
      </c>
      <c r="D64" s="14" t="s">
        <v>115</v>
      </c>
      <c r="E64" s="15"/>
      <c r="F64" s="15"/>
    </row>
    <row r="65" customFormat="false" ht="15" hidden="false" customHeight="true" outlineLevel="0" collapsed="false">
      <c r="A65" s="14" t="n">
        <v>58</v>
      </c>
      <c r="B65" s="14" t="s">
        <v>97</v>
      </c>
      <c r="C65" s="14" t="s">
        <v>108</v>
      </c>
      <c r="D65" s="14" t="s">
        <v>116</v>
      </c>
      <c r="E65" s="15"/>
      <c r="F65" s="15"/>
    </row>
    <row r="66" customFormat="false" ht="15" hidden="false" customHeight="true" outlineLevel="0" collapsed="false">
      <c r="A66" s="14" t="n">
        <v>59</v>
      </c>
      <c r="B66" s="14" t="s">
        <v>97</v>
      </c>
      <c r="C66" s="14" t="s">
        <v>108</v>
      </c>
      <c r="D66" s="14" t="s">
        <v>117</v>
      </c>
      <c r="E66" s="15"/>
      <c r="F66" s="15"/>
    </row>
    <row r="67" customFormat="false" ht="15" hidden="false" customHeight="true" outlineLevel="0" collapsed="false">
      <c r="A67" s="14" t="n">
        <v>60</v>
      </c>
      <c r="B67" s="14" t="s">
        <v>97</v>
      </c>
      <c r="C67" s="14" t="s">
        <v>108</v>
      </c>
      <c r="D67" s="14" t="s">
        <v>118</v>
      </c>
      <c r="E67" s="15"/>
      <c r="F67" s="15"/>
    </row>
    <row r="68" customFormat="false" ht="15" hidden="false" customHeight="true" outlineLevel="0" collapsed="false">
      <c r="A68" s="14" t="n">
        <v>61</v>
      </c>
      <c r="B68" s="14" t="s">
        <v>97</v>
      </c>
      <c r="C68" s="14" t="s">
        <v>108</v>
      </c>
      <c r="D68" s="14" t="s">
        <v>119</v>
      </c>
      <c r="E68" s="15"/>
      <c r="F68" s="15"/>
    </row>
    <row r="69" customFormat="false" ht="15" hidden="false" customHeight="true" outlineLevel="0" collapsed="false">
      <c r="A69" s="14" t="n">
        <v>62</v>
      </c>
      <c r="B69" s="14" t="s">
        <v>97</v>
      </c>
      <c r="C69" s="14" t="s">
        <v>108</v>
      </c>
      <c r="D69" s="14" t="s">
        <v>120</v>
      </c>
      <c r="E69" s="15"/>
      <c r="F69" s="15"/>
    </row>
    <row r="70" customFormat="false" ht="15" hidden="false" customHeight="true" outlineLevel="0" collapsed="false">
      <c r="A70" s="14" t="n">
        <v>63</v>
      </c>
      <c r="B70" s="14" t="s">
        <v>97</v>
      </c>
      <c r="C70" s="14" t="s">
        <v>108</v>
      </c>
      <c r="D70" s="14" t="s">
        <v>121</v>
      </c>
      <c r="E70" s="15"/>
      <c r="F70" s="15"/>
    </row>
    <row r="71" customFormat="false" ht="15" hidden="false" customHeight="true" outlineLevel="0" collapsed="false">
      <c r="A71" s="14" t="n">
        <v>64</v>
      </c>
      <c r="B71" s="14" t="s">
        <v>97</v>
      </c>
      <c r="C71" s="14" t="s">
        <v>108</v>
      </c>
      <c r="D71" s="14" t="s">
        <v>122</v>
      </c>
      <c r="E71" s="15"/>
      <c r="F71" s="15"/>
    </row>
    <row r="72" customFormat="false" ht="15" hidden="false" customHeight="true" outlineLevel="0" collapsed="false">
      <c r="A72" s="14" t="n">
        <v>65</v>
      </c>
      <c r="B72" s="14" t="s">
        <v>97</v>
      </c>
      <c r="C72" s="14" t="s">
        <v>108</v>
      </c>
      <c r="D72" s="14" t="s">
        <v>123</v>
      </c>
      <c r="E72" s="15"/>
      <c r="F72" s="15"/>
    </row>
    <row r="73" customFormat="false" ht="15" hidden="false" customHeight="true" outlineLevel="0" collapsed="false">
      <c r="A73" s="14" t="n">
        <v>66</v>
      </c>
      <c r="B73" s="14" t="s">
        <v>97</v>
      </c>
      <c r="C73" s="14" t="s">
        <v>108</v>
      </c>
      <c r="D73" s="14" t="s">
        <v>124</v>
      </c>
      <c r="E73" s="15"/>
      <c r="F73" s="15"/>
    </row>
    <row r="74" customFormat="false" ht="15" hidden="false" customHeight="true" outlineLevel="0" collapsed="false">
      <c r="A74" s="14" t="n">
        <v>67</v>
      </c>
      <c r="B74" s="14" t="s">
        <v>97</v>
      </c>
      <c r="C74" s="14" t="s">
        <v>108</v>
      </c>
      <c r="D74" s="14" t="s">
        <v>125</v>
      </c>
      <c r="E74" s="15"/>
      <c r="F74" s="15"/>
    </row>
    <row r="75" customFormat="false" ht="15" hidden="false" customHeight="true" outlineLevel="0" collapsed="false">
      <c r="A75" s="14" t="n">
        <v>68</v>
      </c>
      <c r="B75" s="14" t="s">
        <v>97</v>
      </c>
      <c r="C75" s="14" t="s">
        <v>108</v>
      </c>
      <c r="D75" s="14" t="s">
        <v>126</v>
      </c>
      <c r="E75" s="15"/>
      <c r="F75" s="15"/>
    </row>
    <row r="76" customFormat="false" ht="15" hidden="false" customHeight="true" outlineLevel="0" collapsed="false">
      <c r="A76" s="14" t="n">
        <v>69</v>
      </c>
      <c r="B76" s="14" t="s">
        <v>97</v>
      </c>
      <c r="C76" s="14" t="s">
        <v>108</v>
      </c>
      <c r="D76" s="14" t="s">
        <v>127</v>
      </c>
      <c r="E76" s="15"/>
      <c r="F76" s="15"/>
    </row>
    <row r="77" customFormat="false" ht="15" hidden="false" customHeight="true" outlineLevel="0" collapsed="false">
      <c r="A77" s="14" t="n">
        <v>70</v>
      </c>
      <c r="B77" s="14" t="s">
        <v>97</v>
      </c>
      <c r="C77" s="14" t="s">
        <v>108</v>
      </c>
      <c r="D77" s="14" t="s">
        <v>128</v>
      </c>
      <c r="E77" s="15"/>
      <c r="F77" s="15"/>
    </row>
    <row r="78" customFormat="false" ht="15" hidden="false" customHeight="true" outlineLevel="0" collapsed="false">
      <c r="A78" s="14" t="n">
        <v>71</v>
      </c>
      <c r="B78" s="14" t="s">
        <v>97</v>
      </c>
      <c r="C78" s="14" t="s">
        <v>108</v>
      </c>
      <c r="D78" s="14" t="s">
        <v>129</v>
      </c>
      <c r="E78" s="15"/>
      <c r="F78" s="15"/>
    </row>
    <row r="79" customFormat="false" ht="15" hidden="false" customHeight="true" outlineLevel="0" collapsed="false">
      <c r="A79" s="14" t="n">
        <v>72</v>
      </c>
      <c r="B79" s="14" t="s">
        <v>97</v>
      </c>
      <c r="C79" s="14" t="s">
        <v>108</v>
      </c>
      <c r="D79" s="14" t="s">
        <v>130</v>
      </c>
      <c r="E79" s="15"/>
      <c r="F79" s="15"/>
    </row>
    <row r="80" customFormat="false" ht="15" hidden="false" customHeight="true" outlineLevel="0" collapsed="false">
      <c r="A80" s="14" t="n">
        <v>73</v>
      </c>
      <c r="B80" s="14" t="s">
        <v>97</v>
      </c>
      <c r="C80" s="14" t="s">
        <v>108</v>
      </c>
      <c r="D80" s="14" t="s">
        <v>131</v>
      </c>
      <c r="E80" s="15"/>
      <c r="F80" s="15"/>
    </row>
    <row r="81" customFormat="false" ht="15" hidden="false" customHeight="true" outlineLevel="0" collapsed="false">
      <c r="A81" s="14" t="n">
        <v>74</v>
      </c>
      <c r="B81" s="14" t="s">
        <v>97</v>
      </c>
      <c r="C81" s="14" t="s">
        <v>108</v>
      </c>
      <c r="D81" s="14" t="s">
        <v>132</v>
      </c>
      <c r="E81" s="15"/>
      <c r="F81" s="15"/>
    </row>
    <row r="82" customFormat="false" ht="15" hidden="false" customHeight="true" outlineLevel="0" collapsed="false">
      <c r="A82" s="14" t="n">
        <v>75</v>
      </c>
      <c r="B82" s="14" t="s">
        <v>97</v>
      </c>
      <c r="C82" s="14" t="s">
        <v>108</v>
      </c>
      <c r="D82" s="14" t="s">
        <v>133</v>
      </c>
      <c r="E82" s="15"/>
      <c r="F82" s="15"/>
    </row>
    <row r="83" customFormat="false" ht="15" hidden="false" customHeight="true" outlineLevel="0" collapsed="false">
      <c r="A83" s="14" t="n">
        <v>76</v>
      </c>
      <c r="B83" s="14" t="s">
        <v>97</v>
      </c>
      <c r="C83" s="14" t="s">
        <v>108</v>
      </c>
      <c r="D83" s="14" t="s">
        <v>134</v>
      </c>
      <c r="E83" s="15"/>
      <c r="F83" s="15"/>
    </row>
    <row r="84" customFormat="false" ht="15" hidden="false" customHeight="true" outlineLevel="0" collapsed="false">
      <c r="A84" s="14" t="n">
        <v>77</v>
      </c>
      <c r="B84" s="14" t="s">
        <v>97</v>
      </c>
      <c r="C84" s="14" t="s">
        <v>108</v>
      </c>
      <c r="D84" s="14" t="s">
        <v>135</v>
      </c>
      <c r="E84" s="15"/>
      <c r="F84" s="15"/>
    </row>
    <row r="85" customFormat="false" ht="15" hidden="false" customHeight="true" outlineLevel="0" collapsed="false">
      <c r="A85" s="14" t="n">
        <v>78</v>
      </c>
      <c r="B85" s="14" t="s">
        <v>97</v>
      </c>
      <c r="C85" s="14" t="s">
        <v>136</v>
      </c>
      <c r="D85" s="14" t="s">
        <v>137</v>
      </c>
      <c r="E85" s="15"/>
      <c r="F85" s="15"/>
    </row>
    <row r="86" customFormat="false" ht="15" hidden="false" customHeight="true" outlineLevel="0" collapsed="false">
      <c r="A86" s="14" t="n">
        <v>79</v>
      </c>
      <c r="B86" s="14" t="s">
        <v>97</v>
      </c>
      <c r="C86" s="14" t="s">
        <v>136</v>
      </c>
      <c r="D86" s="14" t="s">
        <v>138</v>
      </c>
      <c r="E86" s="15"/>
      <c r="F86" s="15"/>
    </row>
    <row r="87" customFormat="false" ht="15" hidden="false" customHeight="true" outlineLevel="0" collapsed="false">
      <c r="A87" s="14" t="n">
        <v>80</v>
      </c>
      <c r="B87" s="14" t="s">
        <v>97</v>
      </c>
      <c r="C87" s="14" t="s">
        <v>136</v>
      </c>
      <c r="D87" s="14" t="s">
        <v>139</v>
      </c>
      <c r="E87" s="15"/>
      <c r="F87" s="15"/>
    </row>
    <row r="88" customFormat="false" ht="15" hidden="false" customHeight="true" outlineLevel="0" collapsed="false">
      <c r="A88" s="14" t="n">
        <v>81</v>
      </c>
      <c r="B88" s="14" t="s">
        <v>97</v>
      </c>
      <c r="C88" s="14" t="s">
        <v>136</v>
      </c>
      <c r="D88" s="14" t="s">
        <v>140</v>
      </c>
      <c r="E88" s="15"/>
      <c r="F88" s="15"/>
    </row>
    <row r="89" customFormat="false" ht="15" hidden="false" customHeight="true" outlineLevel="0" collapsed="false">
      <c r="A89" s="14" t="n">
        <v>82</v>
      </c>
      <c r="B89" s="14" t="s">
        <v>97</v>
      </c>
      <c r="C89" s="14" t="s">
        <v>136</v>
      </c>
      <c r="D89" s="14" t="s">
        <v>141</v>
      </c>
      <c r="E89" s="15"/>
      <c r="F89" s="15"/>
    </row>
    <row r="90" customFormat="false" ht="15" hidden="false" customHeight="true" outlineLevel="0" collapsed="false">
      <c r="A90" s="14" t="n">
        <v>83</v>
      </c>
      <c r="B90" s="14" t="s">
        <v>97</v>
      </c>
      <c r="C90" s="14" t="s">
        <v>136</v>
      </c>
      <c r="D90" s="14" t="s">
        <v>142</v>
      </c>
      <c r="E90" s="15"/>
      <c r="F90" s="15"/>
    </row>
    <row r="91" customFormat="false" ht="15" hidden="false" customHeight="true" outlineLevel="0" collapsed="false">
      <c r="A91" s="14" t="n">
        <v>84</v>
      </c>
      <c r="B91" s="14" t="s">
        <v>97</v>
      </c>
      <c r="C91" s="14" t="s">
        <v>136</v>
      </c>
      <c r="D91" s="14" t="s">
        <v>143</v>
      </c>
      <c r="E91" s="15"/>
      <c r="F91" s="15"/>
    </row>
    <row r="92" customFormat="false" ht="15" hidden="false" customHeight="false" outlineLevel="0" collapsed="false">
      <c r="A92" s="13" t="s">
        <v>144</v>
      </c>
      <c r="B92" s="13"/>
      <c r="C92" s="13"/>
      <c r="D92" s="13"/>
      <c r="E92" s="13"/>
      <c r="F92" s="13"/>
    </row>
    <row r="93" customFormat="false" ht="15" hidden="false" customHeight="true" outlineLevel="0" collapsed="false">
      <c r="A93" s="14" t="n">
        <v>85</v>
      </c>
      <c r="B93" s="14" t="s">
        <v>145</v>
      </c>
      <c r="C93" s="14" t="s">
        <v>146</v>
      </c>
      <c r="D93" s="14" t="s">
        <v>147</v>
      </c>
      <c r="E93" s="15"/>
      <c r="F93" s="15"/>
    </row>
    <row r="94" customFormat="false" ht="15" hidden="false" customHeight="true" outlineLevel="0" collapsed="false">
      <c r="A94" s="14" t="n">
        <v>86</v>
      </c>
      <c r="B94" s="14" t="s">
        <v>145</v>
      </c>
      <c r="C94" s="14" t="s">
        <v>146</v>
      </c>
      <c r="D94" s="14" t="s">
        <v>148</v>
      </c>
      <c r="E94" s="15"/>
      <c r="F94" s="15"/>
    </row>
    <row r="95" customFormat="false" ht="15" hidden="false" customHeight="true" outlineLevel="0" collapsed="false">
      <c r="A95" s="14" t="n">
        <v>87</v>
      </c>
      <c r="B95" s="14" t="s">
        <v>145</v>
      </c>
      <c r="C95" s="14" t="s">
        <v>146</v>
      </c>
      <c r="D95" s="14" t="s">
        <v>149</v>
      </c>
      <c r="E95" s="15"/>
      <c r="F95" s="15"/>
    </row>
    <row r="96" customFormat="false" ht="15" hidden="false" customHeight="true" outlineLevel="0" collapsed="false">
      <c r="A96" s="14" t="n">
        <v>88</v>
      </c>
      <c r="B96" s="14" t="s">
        <v>145</v>
      </c>
      <c r="C96" s="14" t="s">
        <v>146</v>
      </c>
      <c r="D96" s="14" t="s">
        <v>150</v>
      </c>
      <c r="E96" s="15"/>
      <c r="F96" s="15"/>
    </row>
    <row r="97" customFormat="false" ht="15" hidden="false" customHeight="true" outlineLevel="0" collapsed="false">
      <c r="A97" s="14" t="n">
        <v>89</v>
      </c>
      <c r="B97" s="14" t="s">
        <v>145</v>
      </c>
      <c r="C97" s="14" t="s">
        <v>146</v>
      </c>
      <c r="D97" s="14" t="s">
        <v>151</v>
      </c>
      <c r="E97" s="15"/>
      <c r="F97" s="15"/>
    </row>
    <row r="98" customFormat="false" ht="15" hidden="false" customHeight="true" outlineLevel="0" collapsed="false">
      <c r="A98" s="14" t="n">
        <v>90</v>
      </c>
      <c r="B98" s="14" t="s">
        <v>145</v>
      </c>
      <c r="C98" s="14" t="s">
        <v>146</v>
      </c>
      <c r="D98" s="14" t="s">
        <v>152</v>
      </c>
      <c r="E98" s="15"/>
      <c r="F98" s="15"/>
    </row>
    <row r="99" customFormat="false" ht="15" hidden="false" customHeight="true" outlineLevel="0" collapsed="false">
      <c r="A99" s="14" t="n">
        <v>91</v>
      </c>
      <c r="B99" s="14" t="s">
        <v>145</v>
      </c>
      <c r="C99" s="14" t="s">
        <v>146</v>
      </c>
      <c r="D99" s="14" t="s">
        <v>153</v>
      </c>
      <c r="E99" s="15"/>
      <c r="F99" s="15"/>
    </row>
    <row r="100" customFormat="false" ht="15" hidden="false" customHeight="true" outlineLevel="0" collapsed="false">
      <c r="A100" s="14" t="n">
        <v>92</v>
      </c>
      <c r="B100" s="14" t="s">
        <v>145</v>
      </c>
      <c r="C100" s="14" t="s">
        <v>146</v>
      </c>
      <c r="D100" s="14" t="s">
        <v>154</v>
      </c>
      <c r="E100" s="15"/>
      <c r="F100" s="15"/>
    </row>
    <row r="101" customFormat="false" ht="15" hidden="false" customHeight="true" outlineLevel="0" collapsed="false">
      <c r="A101" s="14" t="n">
        <v>93</v>
      </c>
      <c r="B101" s="14" t="s">
        <v>145</v>
      </c>
      <c r="C101" s="14" t="s">
        <v>146</v>
      </c>
      <c r="D101" s="14" t="s">
        <v>155</v>
      </c>
      <c r="E101" s="15"/>
      <c r="F101" s="15"/>
    </row>
    <row r="102" customFormat="false" ht="15" hidden="false" customHeight="true" outlineLevel="0" collapsed="false">
      <c r="A102" s="14" t="n">
        <v>94</v>
      </c>
      <c r="B102" s="14" t="s">
        <v>145</v>
      </c>
      <c r="C102" s="14" t="s">
        <v>146</v>
      </c>
      <c r="D102" s="14" t="s">
        <v>156</v>
      </c>
      <c r="E102" s="15"/>
      <c r="F102" s="15"/>
    </row>
    <row r="103" customFormat="false" ht="15" hidden="false" customHeight="true" outlineLevel="0" collapsed="false">
      <c r="A103" s="14" t="n">
        <v>95</v>
      </c>
      <c r="B103" s="14" t="s">
        <v>145</v>
      </c>
      <c r="C103" s="14" t="s">
        <v>146</v>
      </c>
      <c r="D103" s="14" t="s">
        <v>157</v>
      </c>
      <c r="E103" s="15"/>
      <c r="F103" s="15"/>
    </row>
    <row r="104" customFormat="false" ht="15" hidden="false" customHeight="true" outlineLevel="0" collapsed="false">
      <c r="A104" s="14" t="n">
        <v>96</v>
      </c>
      <c r="B104" s="14" t="s">
        <v>145</v>
      </c>
      <c r="C104" s="14" t="s">
        <v>146</v>
      </c>
      <c r="D104" s="14" t="s">
        <v>158</v>
      </c>
      <c r="E104" s="15"/>
      <c r="F104" s="15"/>
    </row>
    <row r="105" customFormat="false" ht="15" hidden="false" customHeight="true" outlineLevel="0" collapsed="false">
      <c r="A105" s="14" t="n">
        <v>97</v>
      </c>
      <c r="B105" s="14" t="s">
        <v>145</v>
      </c>
      <c r="C105" s="14" t="s">
        <v>146</v>
      </c>
      <c r="D105" s="14" t="s">
        <v>159</v>
      </c>
      <c r="E105" s="15"/>
      <c r="F105" s="15"/>
    </row>
    <row r="106" customFormat="false" ht="15" hidden="false" customHeight="true" outlineLevel="0" collapsed="false">
      <c r="A106" s="14" t="n">
        <v>98</v>
      </c>
      <c r="B106" s="14" t="s">
        <v>145</v>
      </c>
      <c r="C106" s="14" t="s">
        <v>146</v>
      </c>
      <c r="D106" s="14" t="s">
        <v>160</v>
      </c>
      <c r="E106" s="15"/>
      <c r="F106" s="15"/>
    </row>
    <row r="107" customFormat="false" ht="15" hidden="false" customHeight="true" outlineLevel="0" collapsed="false">
      <c r="A107" s="14" t="n">
        <v>99</v>
      </c>
      <c r="B107" s="14" t="s">
        <v>145</v>
      </c>
      <c r="C107" s="14" t="s">
        <v>146</v>
      </c>
      <c r="D107" s="14" t="s">
        <v>161</v>
      </c>
      <c r="E107" s="15"/>
      <c r="F107" s="15"/>
    </row>
    <row r="108" customFormat="false" ht="15" hidden="false" customHeight="true" outlineLevel="0" collapsed="false">
      <c r="A108" s="14" t="n">
        <v>100</v>
      </c>
      <c r="B108" s="14" t="s">
        <v>145</v>
      </c>
      <c r="C108" s="14" t="s">
        <v>146</v>
      </c>
      <c r="D108" s="14" t="s">
        <v>162</v>
      </c>
      <c r="E108" s="15"/>
      <c r="F108" s="15"/>
    </row>
    <row r="109" customFormat="false" ht="15" hidden="false" customHeight="true" outlineLevel="0" collapsed="false">
      <c r="A109" s="14" t="n">
        <v>101</v>
      </c>
      <c r="B109" s="14" t="s">
        <v>145</v>
      </c>
      <c r="C109" s="14" t="s">
        <v>146</v>
      </c>
      <c r="D109" s="14" t="s">
        <v>163</v>
      </c>
      <c r="E109" s="15"/>
      <c r="F109" s="15"/>
    </row>
    <row r="110" customFormat="false" ht="15" hidden="false" customHeight="true" outlineLevel="0" collapsed="false">
      <c r="A110" s="14" t="n">
        <v>102</v>
      </c>
      <c r="B110" s="14" t="s">
        <v>145</v>
      </c>
      <c r="C110" s="14" t="s">
        <v>146</v>
      </c>
      <c r="D110" s="14" t="s">
        <v>164</v>
      </c>
      <c r="E110" s="15"/>
      <c r="F110" s="15"/>
    </row>
    <row r="111" customFormat="false" ht="15" hidden="false" customHeight="true" outlineLevel="0" collapsed="false">
      <c r="A111" s="14" t="n">
        <v>103</v>
      </c>
      <c r="B111" s="14" t="s">
        <v>145</v>
      </c>
      <c r="C111" s="14" t="s">
        <v>165</v>
      </c>
      <c r="D111" s="14" t="s">
        <v>166</v>
      </c>
      <c r="E111" s="15"/>
      <c r="F111" s="15"/>
    </row>
    <row r="112" customFormat="false" ht="15" hidden="false" customHeight="true" outlineLevel="0" collapsed="false">
      <c r="A112" s="14" t="n">
        <v>104</v>
      </c>
      <c r="B112" s="14" t="s">
        <v>145</v>
      </c>
      <c r="C112" s="14" t="s">
        <v>165</v>
      </c>
      <c r="D112" s="14" t="s">
        <v>167</v>
      </c>
      <c r="E112" s="15"/>
      <c r="F112" s="15"/>
    </row>
    <row r="113" customFormat="false" ht="15" hidden="false" customHeight="true" outlineLevel="0" collapsed="false">
      <c r="A113" s="14" t="n">
        <v>105</v>
      </c>
      <c r="B113" s="14" t="s">
        <v>145</v>
      </c>
      <c r="C113" s="14" t="s">
        <v>168</v>
      </c>
      <c r="D113" s="14" t="s">
        <v>169</v>
      </c>
      <c r="E113" s="15"/>
      <c r="F113" s="15"/>
    </row>
    <row r="114" customFormat="false" ht="15" hidden="false" customHeight="true" outlineLevel="0" collapsed="false">
      <c r="A114" s="14" t="n">
        <v>106</v>
      </c>
      <c r="B114" s="14" t="s">
        <v>145</v>
      </c>
      <c r="C114" s="14" t="s">
        <v>168</v>
      </c>
      <c r="D114" s="14" t="s">
        <v>170</v>
      </c>
      <c r="E114" s="15"/>
      <c r="F114" s="15"/>
    </row>
    <row r="115" customFormat="false" ht="15" hidden="false" customHeight="true" outlineLevel="0" collapsed="false">
      <c r="A115" s="14" t="n">
        <v>107</v>
      </c>
      <c r="B115" s="14" t="s">
        <v>145</v>
      </c>
      <c r="C115" s="14" t="s">
        <v>168</v>
      </c>
      <c r="D115" s="14" t="s">
        <v>171</v>
      </c>
      <c r="E115" s="15"/>
      <c r="F115" s="15"/>
    </row>
    <row r="116" customFormat="false" ht="15" hidden="false" customHeight="true" outlineLevel="0" collapsed="false">
      <c r="A116" s="14" t="n">
        <v>108</v>
      </c>
      <c r="B116" s="14" t="s">
        <v>145</v>
      </c>
      <c r="C116" s="14" t="s">
        <v>168</v>
      </c>
      <c r="D116" s="14" t="s">
        <v>172</v>
      </c>
      <c r="E116" s="15"/>
      <c r="F116" s="15"/>
    </row>
    <row r="117" customFormat="false" ht="15" hidden="false" customHeight="true" outlineLevel="0" collapsed="false">
      <c r="A117" s="14" t="n">
        <v>109</v>
      </c>
      <c r="B117" s="14" t="s">
        <v>145</v>
      </c>
      <c r="C117" s="14" t="s">
        <v>168</v>
      </c>
      <c r="D117" s="14" t="s">
        <v>173</v>
      </c>
      <c r="E117" s="15"/>
      <c r="F117" s="15"/>
    </row>
    <row r="118" customFormat="false" ht="15" hidden="false" customHeight="true" outlineLevel="0" collapsed="false">
      <c r="A118" s="14" t="n">
        <v>110</v>
      </c>
      <c r="B118" s="14" t="s">
        <v>145</v>
      </c>
      <c r="C118" s="14" t="s">
        <v>168</v>
      </c>
      <c r="D118" s="14" t="s">
        <v>174</v>
      </c>
      <c r="E118" s="15"/>
      <c r="F118" s="15"/>
    </row>
    <row r="119" customFormat="false" ht="15" hidden="false" customHeight="true" outlineLevel="0" collapsed="false">
      <c r="A119" s="14" t="n">
        <v>111</v>
      </c>
      <c r="B119" s="14" t="s">
        <v>145</v>
      </c>
      <c r="C119" s="14" t="s">
        <v>168</v>
      </c>
      <c r="D119" s="14" t="s">
        <v>175</v>
      </c>
      <c r="E119" s="15"/>
      <c r="F119" s="15"/>
    </row>
    <row r="120" customFormat="false" ht="15" hidden="false" customHeight="false" outlineLevel="0" collapsed="false">
      <c r="A120" s="13" t="s">
        <v>176</v>
      </c>
      <c r="B120" s="13"/>
      <c r="C120" s="13"/>
      <c r="D120" s="13"/>
      <c r="E120" s="13"/>
      <c r="F120" s="13"/>
    </row>
    <row r="121" customFormat="false" ht="15" hidden="false" customHeight="true" outlineLevel="0" collapsed="false">
      <c r="A121" s="14" t="n">
        <v>112</v>
      </c>
      <c r="B121" s="14" t="s">
        <v>177</v>
      </c>
      <c r="C121" s="14" t="s">
        <v>178</v>
      </c>
      <c r="D121" s="14" t="s">
        <v>179</v>
      </c>
      <c r="E121" s="15"/>
      <c r="F121" s="15"/>
    </row>
    <row r="122" customFormat="false" ht="15" hidden="false" customHeight="true" outlineLevel="0" collapsed="false">
      <c r="A122" s="14" t="n">
        <v>113</v>
      </c>
      <c r="B122" s="14" t="s">
        <v>177</v>
      </c>
      <c r="C122" s="14" t="s">
        <v>178</v>
      </c>
      <c r="D122" s="14" t="s">
        <v>180</v>
      </c>
      <c r="E122" s="15"/>
      <c r="F122" s="15"/>
    </row>
    <row r="123" customFormat="false" ht="15" hidden="false" customHeight="true" outlineLevel="0" collapsed="false">
      <c r="A123" s="14" t="n">
        <v>114</v>
      </c>
      <c r="B123" s="14" t="s">
        <v>177</v>
      </c>
      <c r="C123" s="14" t="s">
        <v>178</v>
      </c>
      <c r="D123" s="14" t="s">
        <v>181</v>
      </c>
      <c r="E123" s="15"/>
      <c r="F123" s="15"/>
    </row>
    <row r="124" customFormat="false" ht="15" hidden="false" customHeight="true" outlineLevel="0" collapsed="false">
      <c r="A124" s="14" t="n">
        <v>115</v>
      </c>
      <c r="B124" s="14" t="s">
        <v>177</v>
      </c>
      <c r="C124" s="14" t="s">
        <v>178</v>
      </c>
      <c r="D124" s="14" t="s">
        <v>182</v>
      </c>
      <c r="E124" s="15"/>
      <c r="F124" s="15"/>
    </row>
    <row r="125" customFormat="false" ht="15" hidden="false" customHeight="true" outlineLevel="0" collapsed="false">
      <c r="A125" s="14" t="n">
        <v>116</v>
      </c>
      <c r="B125" s="14" t="s">
        <v>177</v>
      </c>
      <c r="C125" s="14" t="s">
        <v>178</v>
      </c>
      <c r="D125" s="14" t="s">
        <v>183</v>
      </c>
      <c r="E125" s="15"/>
      <c r="F125" s="15"/>
    </row>
    <row r="126" customFormat="false" ht="15" hidden="false" customHeight="true" outlineLevel="0" collapsed="false">
      <c r="A126" s="14" t="n">
        <v>117</v>
      </c>
      <c r="B126" s="14" t="s">
        <v>177</v>
      </c>
      <c r="C126" s="14" t="s">
        <v>178</v>
      </c>
      <c r="D126" s="14" t="s">
        <v>184</v>
      </c>
      <c r="E126" s="15"/>
      <c r="F126" s="15"/>
    </row>
    <row r="127" customFormat="false" ht="15" hidden="false" customHeight="true" outlineLevel="0" collapsed="false">
      <c r="A127" s="14" t="n">
        <v>118</v>
      </c>
      <c r="B127" s="14" t="s">
        <v>177</v>
      </c>
      <c r="C127" s="14" t="s">
        <v>178</v>
      </c>
      <c r="D127" s="14" t="s">
        <v>185</v>
      </c>
      <c r="E127" s="15"/>
      <c r="F127" s="15"/>
    </row>
    <row r="128" customFormat="false" ht="15" hidden="false" customHeight="true" outlineLevel="0" collapsed="false">
      <c r="A128" s="14" t="n">
        <v>119</v>
      </c>
      <c r="B128" s="14" t="s">
        <v>177</v>
      </c>
      <c r="C128" s="14" t="s">
        <v>178</v>
      </c>
      <c r="D128" s="14" t="s">
        <v>186</v>
      </c>
      <c r="E128" s="15"/>
      <c r="F128" s="15"/>
    </row>
    <row r="129" customFormat="false" ht="15" hidden="false" customHeight="true" outlineLevel="0" collapsed="false">
      <c r="A129" s="14" t="n">
        <v>120</v>
      </c>
      <c r="B129" s="14" t="s">
        <v>177</v>
      </c>
      <c r="C129" s="14" t="s">
        <v>178</v>
      </c>
      <c r="D129" s="14" t="s">
        <v>187</v>
      </c>
      <c r="E129" s="15"/>
      <c r="F129" s="15"/>
    </row>
    <row r="130" customFormat="false" ht="15" hidden="false" customHeight="true" outlineLevel="0" collapsed="false">
      <c r="A130" s="14" t="n">
        <v>121</v>
      </c>
      <c r="B130" s="14" t="s">
        <v>177</v>
      </c>
      <c r="C130" s="14" t="s">
        <v>178</v>
      </c>
      <c r="D130" s="14" t="s">
        <v>188</v>
      </c>
      <c r="E130" s="15"/>
      <c r="F130" s="15"/>
    </row>
    <row r="131" customFormat="false" ht="15" hidden="false" customHeight="true" outlineLevel="0" collapsed="false">
      <c r="A131" s="14" t="n">
        <v>122</v>
      </c>
      <c r="B131" s="14" t="s">
        <v>177</v>
      </c>
      <c r="C131" s="14" t="s">
        <v>189</v>
      </c>
      <c r="D131" s="14" t="s">
        <v>190</v>
      </c>
      <c r="E131" s="15"/>
      <c r="F131" s="15"/>
    </row>
    <row r="132" customFormat="false" ht="15" hidden="false" customHeight="true" outlineLevel="0" collapsed="false">
      <c r="A132" s="14" t="n">
        <v>123</v>
      </c>
      <c r="B132" s="14" t="s">
        <v>177</v>
      </c>
      <c r="C132" s="14" t="s">
        <v>189</v>
      </c>
      <c r="D132" s="14" t="s">
        <v>191</v>
      </c>
      <c r="E132" s="15"/>
      <c r="F132" s="15"/>
    </row>
    <row r="133" customFormat="false" ht="15" hidden="false" customHeight="true" outlineLevel="0" collapsed="false">
      <c r="A133" s="14" t="n">
        <v>124</v>
      </c>
      <c r="B133" s="14" t="s">
        <v>177</v>
      </c>
      <c r="C133" s="14" t="s">
        <v>189</v>
      </c>
      <c r="D133" s="14" t="s">
        <v>192</v>
      </c>
      <c r="E133" s="15"/>
      <c r="F133" s="15"/>
    </row>
    <row r="134" customFormat="false" ht="15" hidden="false" customHeight="true" outlineLevel="0" collapsed="false">
      <c r="A134" s="14" t="n">
        <v>125</v>
      </c>
      <c r="B134" s="14" t="s">
        <v>177</v>
      </c>
      <c r="C134" s="14" t="s">
        <v>189</v>
      </c>
      <c r="D134" s="14" t="s">
        <v>193</v>
      </c>
      <c r="E134" s="15"/>
      <c r="F134" s="15"/>
    </row>
    <row r="135" customFormat="false" ht="15" hidden="false" customHeight="true" outlineLevel="0" collapsed="false">
      <c r="A135" s="14" t="n">
        <v>126</v>
      </c>
      <c r="B135" s="14" t="s">
        <v>177</v>
      </c>
      <c r="C135" s="14" t="s">
        <v>189</v>
      </c>
      <c r="D135" s="14" t="s">
        <v>194</v>
      </c>
      <c r="E135" s="15"/>
      <c r="F135" s="15"/>
    </row>
    <row r="136" customFormat="false" ht="15" hidden="false" customHeight="true" outlineLevel="0" collapsed="false">
      <c r="A136" s="14" t="n">
        <v>127</v>
      </c>
      <c r="B136" s="14" t="s">
        <v>177</v>
      </c>
      <c r="C136" s="14" t="s">
        <v>189</v>
      </c>
      <c r="D136" s="14" t="s">
        <v>195</v>
      </c>
      <c r="E136" s="15"/>
      <c r="F136" s="15"/>
    </row>
    <row r="137" customFormat="false" ht="15" hidden="false" customHeight="true" outlineLevel="0" collapsed="false">
      <c r="A137" s="14" t="n">
        <v>128</v>
      </c>
      <c r="B137" s="14" t="s">
        <v>177</v>
      </c>
      <c r="C137" s="14" t="s">
        <v>189</v>
      </c>
      <c r="D137" s="14" t="s">
        <v>196</v>
      </c>
      <c r="E137" s="15"/>
      <c r="F137" s="15"/>
    </row>
    <row r="138" customFormat="false" ht="15" hidden="false" customHeight="true" outlineLevel="0" collapsed="false">
      <c r="A138" s="14" t="n">
        <v>129</v>
      </c>
      <c r="B138" s="14" t="s">
        <v>177</v>
      </c>
      <c r="C138" s="14" t="s">
        <v>189</v>
      </c>
      <c r="D138" s="14" t="s">
        <v>197</v>
      </c>
      <c r="E138" s="15"/>
      <c r="F138" s="15"/>
    </row>
    <row r="139" customFormat="false" ht="15" hidden="false" customHeight="true" outlineLevel="0" collapsed="false">
      <c r="A139" s="14" t="n">
        <v>130</v>
      </c>
      <c r="B139" s="14" t="s">
        <v>177</v>
      </c>
      <c r="C139" s="14" t="s">
        <v>189</v>
      </c>
      <c r="D139" s="14" t="s">
        <v>198</v>
      </c>
      <c r="E139" s="15"/>
      <c r="F139" s="15"/>
    </row>
    <row r="140" customFormat="false" ht="15" hidden="false" customHeight="true" outlineLevel="0" collapsed="false">
      <c r="A140" s="14" t="n">
        <v>131</v>
      </c>
      <c r="B140" s="14" t="s">
        <v>177</v>
      </c>
      <c r="C140" s="14" t="s">
        <v>189</v>
      </c>
      <c r="D140" s="14" t="s">
        <v>199</v>
      </c>
      <c r="E140" s="15"/>
      <c r="F140" s="15"/>
    </row>
    <row r="141" customFormat="false" ht="15" hidden="false" customHeight="true" outlineLevel="0" collapsed="false">
      <c r="A141" s="14" t="n">
        <v>132</v>
      </c>
      <c r="B141" s="14" t="s">
        <v>177</v>
      </c>
      <c r="C141" s="14" t="s">
        <v>189</v>
      </c>
      <c r="D141" s="14" t="s">
        <v>200</v>
      </c>
      <c r="E141" s="15"/>
      <c r="F141" s="15"/>
    </row>
    <row r="142" customFormat="false" ht="15" hidden="false" customHeight="true" outlineLevel="0" collapsed="false">
      <c r="A142" s="14" t="n">
        <v>133</v>
      </c>
      <c r="B142" s="14" t="s">
        <v>177</v>
      </c>
      <c r="C142" s="14" t="s">
        <v>189</v>
      </c>
      <c r="D142" s="14" t="s">
        <v>201</v>
      </c>
      <c r="E142" s="15"/>
      <c r="F142" s="15"/>
    </row>
    <row r="143" customFormat="false" ht="15" hidden="false" customHeight="false" outlineLevel="0" collapsed="false">
      <c r="A143" s="13" t="s">
        <v>202</v>
      </c>
      <c r="B143" s="13"/>
      <c r="C143" s="13"/>
      <c r="D143" s="13"/>
      <c r="E143" s="13"/>
      <c r="F143" s="13"/>
    </row>
    <row r="144" customFormat="false" ht="15" hidden="false" customHeight="true" outlineLevel="0" collapsed="false">
      <c r="A144" s="14" t="n">
        <v>134</v>
      </c>
      <c r="B144" s="14" t="s">
        <v>203</v>
      </c>
      <c r="C144" s="14" t="s">
        <v>204</v>
      </c>
      <c r="D144" s="14" t="s">
        <v>205</v>
      </c>
      <c r="E144" s="15"/>
      <c r="F144" s="15"/>
    </row>
    <row r="145" customFormat="false" ht="15" hidden="false" customHeight="true" outlineLevel="0" collapsed="false">
      <c r="A145" s="14" t="n">
        <v>135</v>
      </c>
      <c r="B145" s="14" t="s">
        <v>203</v>
      </c>
      <c r="C145" s="14" t="s">
        <v>204</v>
      </c>
      <c r="D145" s="14" t="s">
        <v>206</v>
      </c>
      <c r="E145" s="15"/>
      <c r="F145" s="15"/>
    </row>
    <row r="146" customFormat="false" ht="15" hidden="false" customHeight="true" outlineLevel="0" collapsed="false">
      <c r="A146" s="14" t="n">
        <v>136</v>
      </c>
      <c r="B146" s="14" t="s">
        <v>203</v>
      </c>
      <c r="C146" s="14" t="s">
        <v>207</v>
      </c>
      <c r="D146" s="14" t="s">
        <v>208</v>
      </c>
      <c r="E146" s="15"/>
      <c r="F146" s="15"/>
    </row>
    <row r="147" customFormat="false" ht="15" hidden="false" customHeight="true" outlineLevel="0" collapsed="false">
      <c r="A147" s="14" t="n">
        <v>137</v>
      </c>
      <c r="B147" s="14" t="s">
        <v>203</v>
      </c>
      <c r="C147" s="14" t="s">
        <v>207</v>
      </c>
      <c r="D147" s="14" t="s">
        <v>209</v>
      </c>
      <c r="E147" s="15"/>
      <c r="F147" s="15"/>
    </row>
    <row r="148" customFormat="false" ht="15" hidden="false" customHeight="true" outlineLevel="0" collapsed="false">
      <c r="A148" s="14" t="n">
        <v>138</v>
      </c>
      <c r="B148" s="14" t="s">
        <v>203</v>
      </c>
      <c r="C148" s="14" t="s">
        <v>207</v>
      </c>
      <c r="D148" s="14" t="s">
        <v>210</v>
      </c>
      <c r="E148" s="15"/>
      <c r="F148" s="15"/>
    </row>
    <row r="149" customFormat="false" ht="15" hidden="false" customHeight="true" outlineLevel="0" collapsed="false">
      <c r="A149" s="14" t="n">
        <v>139</v>
      </c>
      <c r="B149" s="14" t="s">
        <v>203</v>
      </c>
      <c r="C149" s="14" t="s">
        <v>211</v>
      </c>
      <c r="D149" s="14" t="s">
        <v>212</v>
      </c>
      <c r="E149" s="15"/>
      <c r="F149" s="15"/>
    </row>
    <row r="150" customFormat="false" ht="15" hidden="false" customHeight="true" outlineLevel="0" collapsed="false">
      <c r="A150" s="14" t="n">
        <v>140</v>
      </c>
      <c r="B150" s="14" t="s">
        <v>203</v>
      </c>
      <c r="C150" s="14" t="s">
        <v>211</v>
      </c>
      <c r="D150" s="14" t="s">
        <v>213</v>
      </c>
      <c r="E150" s="15"/>
      <c r="F150" s="15"/>
    </row>
    <row r="151" customFormat="false" ht="15" hidden="false" customHeight="true" outlineLevel="0" collapsed="false">
      <c r="A151" s="14" t="n">
        <v>141</v>
      </c>
      <c r="B151" s="14" t="s">
        <v>203</v>
      </c>
      <c r="C151" s="14" t="s">
        <v>211</v>
      </c>
      <c r="D151" s="14" t="s">
        <v>214</v>
      </c>
      <c r="E151" s="15"/>
      <c r="F151" s="15"/>
    </row>
    <row r="152" customFormat="false" ht="15" hidden="false" customHeight="true" outlineLevel="0" collapsed="false">
      <c r="A152" s="14" t="n">
        <v>142</v>
      </c>
      <c r="B152" s="14" t="s">
        <v>203</v>
      </c>
      <c r="C152" s="14" t="s">
        <v>215</v>
      </c>
      <c r="D152" s="14" t="s">
        <v>216</v>
      </c>
      <c r="E152" s="15"/>
      <c r="F152" s="15"/>
    </row>
    <row r="153" customFormat="false" ht="15" hidden="false" customHeight="true" outlineLevel="0" collapsed="false">
      <c r="A153" s="14" t="n">
        <v>143</v>
      </c>
      <c r="B153" s="14" t="s">
        <v>203</v>
      </c>
      <c r="C153" s="14" t="s">
        <v>215</v>
      </c>
      <c r="D153" s="14" t="s">
        <v>217</v>
      </c>
      <c r="E153" s="15"/>
      <c r="F153" s="15"/>
    </row>
    <row r="154" customFormat="false" ht="15" hidden="false" customHeight="true" outlineLevel="0" collapsed="false">
      <c r="A154" s="14" t="n">
        <v>144</v>
      </c>
      <c r="B154" s="14" t="s">
        <v>203</v>
      </c>
      <c r="C154" s="14" t="s">
        <v>215</v>
      </c>
      <c r="D154" s="14" t="s">
        <v>218</v>
      </c>
      <c r="E154" s="15"/>
      <c r="F154" s="15"/>
    </row>
    <row r="155" customFormat="false" ht="15" hidden="false" customHeight="true" outlineLevel="0" collapsed="false">
      <c r="A155" s="14" t="n">
        <v>145</v>
      </c>
      <c r="B155" s="14" t="s">
        <v>203</v>
      </c>
      <c r="C155" s="14" t="s">
        <v>215</v>
      </c>
      <c r="D155" s="14" t="s">
        <v>219</v>
      </c>
      <c r="E155" s="15"/>
      <c r="F155" s="15"/>
    </row>
    <row r="156" customFormat="false" ht="15" hidden="false" customHeight="false" outlineLevel="0" collapsed="false">
      <c r="A156" s="13" t="s">
        <v>220</v>
      </c>
      <c r="B156" s="13"/>
      <c r="C156" s="13"/>
      <c r="D156" s="13"/>
      <c r="E156" s="13"/>
      <c r="F156" s="13"/>
    </row>
    <row r="157" customFormat="false" ht="15" hidden="false" customHeight="true" outlineLevel="0" collapsed="false">
      <c r="A157" s="14" t="n">
        <v>146</v>
      </c>
      <c r="B157" s="14" t="s">
        <v>221</v>
      </c>
      <c r="C157" s="14" t="s">
        <v>222</v>
      </c>
      <c r="D157" s="14" t="s">
        <v>223</v>
      </c>
      <c r="E157" s="15"/>
      <c r="F157" s="15"/>
    </row>
    <row r="158" customFormat="false" ht="15" hidden="false" customHeight="true" outlineLevel="0" collapsed="false">
      <c r="A158" s="14" t="n">
        <v>147</v>
      </c>
      <c r="B158" s="14" t="s">
        <v>221</v>
      </c>
      <c r="C158" s="14" t="s">
        <v>222</v>
      </c>
      <c r="D158" s="14" t="s">
        <v>224</v>
      </c>
      <c r="E158" s="15"/>
      <c r="F158" s="15"/>
    </row>
    <row r="159" customFormat="false" ht="15" hidden="false" customHeight="true" outlineLevel="0" collapsed="false">
      <c r="A159" s="14" t="n">
        <v>148</v>
      </c>
      <c r="B159" s="14" t="s">
        <v>221</v>
      </c>
      <c r="C159" s="14" t="s">
        <v>222</v>
      </c>
      <c r="D159" s="14" t="s">
        <v>225</v>
      </c>
      <c r="E159" s="15"/>
      <c r="F159" s="15"/>
    </row>
    <row r="160" customFormat="false" ht="15" hidden="false" customHeight="true" outlineLevel="0" collapsed="false">
      <c r="A160" s="14" t="n">
        <v>149</v>
      </c>
      <c r="B160" s="14" t="s">
        <v>221</v>
      </c>
      <c r="C160" s="14" t="s">
        <v>222</v>
      </c>
      <c r="D160" s="14" t="s">
        <v>226</v>
      </c>
      <c r="E160" s="15"/>
      <c r="F160" s="15"/>
    </row>
    <row r="161" customFormat="false" ht="15" hidden="false" customHeight="true" outlineLevel="0" collapsed="false">
      <c r="A161" s="14" t="n">
        <v>150</v>
      </c>
      <c r="B161" s="14" t="s">
        <v>221</v>
      </c>
      <c r="C161" s="14" t="s">
        <v>222</v>
      </c>
      <c r="D161" s="14" t="s">
        <v>227</v>
      </c>
      <c r="E161" s="15"/>
      <c r="F161" s="15"/>
    </row>
    <row r="162" customFormat="false" ht="15" hidden="false" customHeight="true" outlineLevel="0" collapsed="false">
      <c r="A162" s="14" t="n">
        <v>151</v>
      </c>
      <c r="B162" s="14" t="s">
        <v>221</v>
      </c>
      <c r="C162" s="14" t="s">
        <v>222</v>
      </c>
      <c r="D162" s="14" t="s">
        <v>228</v>
      </c>
      <c r="E162" s="15"/>
      <c r="F162" s="15"/>
    </row>
    <row r="163" customFormat="false" ht="15" hidden="false" customHeight="true" outlineLevel="0" collapsed="false">
      <c r="A163" s="14" t="n">
        <v>152</v>
      </c>
      <c r="B163" s="14" t="s">
        <v>221</v>
      </c>
      <c r="C163" s="14" t="s">
        <v>222</v>
      </c>
      <c r="D163" s="14" t="s">
        <v>229</v>
      </c>
      <c r="E163" s="15"/>
      <c r="F163" s="15"/>
    </row>
    <row r="164" customFormat="false" ht="15" hidden="false" customHeight="true" outlineLevel="0" collapsed="false">
      <c r="A164" s="14" t="n">
        <v>153</v>
      </c>
      <c r="B164" s="14" t="s">
        <v>221</v>
      </c>
      <c r="C164" s="14" t="s">
        <v>222</v>
      </c>
      <c r="D164" s="14" t="s">
        <v>230</v>
      </c>
      <c r="E164" s="15"/>
      <c r="F164" s="15"/>
    </row>
    <row r="165" customFormat="false" ht="15" hidden="false" customHeight="true" outlineLevel="0" collapsed="false">
      <c r="A165" s="14" t="n">
        <v>154</v>
      </c>
      <c r="B165" s="14" t="s">
        <v>221</v>
      </c>
      <c r="C165" s="14" t="s">
        <v>222</v>
      </c>
      <c r="D165" s="14" t="s">
        <v>231</v>
      </c>
      <c r="E165" s="15"/>
      <c r="F165" s="15"/>
    </row>
    <row r="166" customFormat="false" ht="15" hidden="false" customHeight="true" outlineLevel="0" collapsed="false">
      <c r="A166" s="14" t="n">
        <v>155</v>
      </c>
      <c r="B166" s="14" t="s">
        <v>221</v>
      </c>
      <c r="C166" s="14" t="s">
        <v>222</v>
      </c>
      <c r="D166" s="14" t="s">
        <v>232</v>
      </c>
      <c r="E166" s="15"/>
      <c r="F166" s="15"/>
    </row>
    <row r="167" customFormat="false" ht="15" hidden="false" customHeight="true" outlineLevel="0" collapsed="false">
      <c r="A167" s="14" t="n">
        <v>156</v>
      </c>
      <c r="B167" s="14" t="s">
        <v>221</v>
      </c>
      <c r="C167" s="14" t="s">
        <v>222</v>
      </c>
      <c r="D167" s="14" t="s">
        <v>233</v>
      </c>
      <c r="E167" s="15"/>
      <c r="F167" s="15"/>
    </row>
    <row r="168" customFormat="false" ht="15" hidden="false" customHeight="true" outlineLevel="0" collapsed="false">
      <c r="A168" s="14" t="n">
        <v>157</v>
      </c>
      <c r="B168" s="14" t="s">
        <v>221</v>
      </c>
      <c r="C168" s="14" t="s">
        <v>222</v>
      </c>
      <c r="D168" s="14" t="s">
        <v>234</v>
      </c>
      <c r="E168" s="15"/>
      <c r="F168" s="15"/>
    </row>
    <row r="169" customFormat="false" ht="15" hidden="false" customHeight="true" outlineLevel="0" collapsed="false">
      <c r="A169" s="14" t="n">
        <v>158</v>
      </c>
      <c r="B169" s="14" t="s">
        <v>221</v>
      </c>
      <c r="C169" s="14" t="s">
        <v>235</v>
      </c>
      <c r="D169" s="14" t="s">
        <v>236</v>
      </c>
      <c r="E169" s="15"/>
      <c r="F169" s="15"/>
    </row>
    <row r="170" customFormat="false" ht="15" hidden="false" customHeight="true" outlineLevel="0" collapsed="false">
      <c r="A170" s="14" t="n">
        <v>159</v>
      </c>
      <c r="B170" s="14" t="s">
        <v>221</v>
      </c>
      <c r="C170" s="14" t="s">
        <v>235</v>
      </c>
      <c r="D170" s="14" t="s">
        <v>237</v>
      </c>
      <c r="E170" s="15"/>
      <c r="F170" s="15"/>
    </row>
    <row r="171" customFormat="false" ht="15" hidden="false" customHeight="true" outlineLevel="0" collapsed="false">
      <c r="A171" s="14" t="n">
        <v>160</v>
      </c>
      <c r="B171" s="14" t="s">
        <v>221</v>
      </c>
      <c r="C171" s="14" t="s">
        <v>235</v>
      </c>
      <c r="D171" s="14" t="s">
        <v>238</v>
      </c>
      <c r="E171" s="15"/>
      <c r="F171" s="15"/>
    </row>
    <row r="172" customFormat="false" ht="15" hidden="false" customHeight="true" outlineLevel="0" collapsed="false">
      <c r="A172" s="14" t="n">
        <v>161</v>
      </c>
      <c r="B172" s="14" t="s">
        <v>221</v>
      </c>
      <c r="C172" s="14" t="s">
        <v>235</v>
      </c>
      <c r="D172" s="14" t="s">
        <v>239</v>
      </c>
      <c r="E172" s="15"/>
      <c r="F172" s="15"/>
    </row>
    <row r="173" customFormat="false" ht="15" hidden="false" customHeight="true" outlineLevel="0" collapsed="false">
      <c r="A173" s="14" t="n">
        <v>162</v>
      </c>
      <c r="B173" s="14" t="s">
        <v>221</v>
      </c>
      <c r="C173" s="14" t="s">
        <v>235</v>
      </c>
      <c r="D173" s="14" t="s">
        <v>240</v>
      </c>
      <c r="E173" s="15"/>
      <c r="F173" s="15"/>
    </row>
    <row r="174" customFormat="false" ht="15" hidden="false" customHeight="true" outlineLevel="0" collapsed="false">
      <c r="A174" s="14" t="n">
        <v>163</v>
      </c>
      <c r="B174" s="14" t="s">
        <v>221</v>
      </c>
      <c r="C174" s="14" t="s">
        <v>235</v>
      </c>
      <c r="D174" s="14" t="s">
        <v>241</v>
      </c>
      <c r="E174" s="15"/>
      <c r="F174" s="15"/>
    </row>
    <row r="175" customFormat="false" ht="15" hidden="false" customHeight="true" outlineLevel="0" collapsed="false">
      <c r="A175" s="14" t="n">
        <v>164</v>
      </c>
      <c r="B175" s="14" t="s">
        <v>221</v>
      </c>
      <c r="C175" s="14" t="s">
        <v>242</v>
      </c>
      <c r="D175" s="14" t="s">
        <v>243</v>
      </c>
      <c r="E175" s="15"/>
      <c r="F175" s="15"/>
    </row>
    <row r="176" customFormat="false" ht="15" hidden="false" customHeight="true" outlineLevel="0" collapsed="false">
      <c r="A176" s="14" t="n">
        <v>165</v>
      </c>
      <c r="B176" s="14" t="s">
        <v>221</v>
      </c>
      <c r="C176" s="14" t="s">
        <v>242</v>
      </c>
      <c r="D176" s="14" t="s">
        <v>244</v>
      </c>
      <c r="E176" s="15"/>
      <c r="F176" s="15"/>
    </row>
    <row r="177" customFormat="false" ht="15" hidden="false" customHeight="true" outlineLevel="0" collapsed="false">
      <c r="A177" s="14" t="n">
        <v>166</v>
      </c>
      <c r="B177" s="14" t="s">
        <v>221</v>
      </c>
      <c r="C177" s="14" t="s">
        <v>242</v>
      </c>
      <c r="D177" s="14" t="s">
        <v>245</v>
      </c>
      <c r="E177" s="15"/>
      <c r="F177" s="15"/>
    </row>
    <row r="178" customFormat="false" ht="15" hidden="false" customHeight="true" outlineLevel="0" collapsed="false">
      <c r="A178" s="14" t="n">
        <v>167</v>
      </c>
      <c r="B178" s="14" t="s">
        <v>221</v>
      </c>
      <c r="C178" s="14" t="s">
        <v>242</v>
      </c>
      <c r="D178" s="14" t="s">
        <v>246</v>
      </c>
      <c r="E178" s="15"/>
      <c r="F178" s="15"/>
    </row>
    <row r="179" customFormat="false" ht="15" hidden="false" customHeight="true" outlineLevel="0" collapsed="false">
      <c r="A179" s="14" t="n">
        <v>168</v>
      </c>
      <c r="B179" s="14" t="s">
        <v>221</v>
      </c>
      <c r="C179" s="14" t="s">
        <v>242</v>
      </c>
      <c r="D179" s="14" t="s">
        <v>247</v>
      </c>
      <c r="E179" s="15"/>
      <c r="F179" s="15"/>
    </row>
    <row r="180" customFormat="false" ht="15" hidden="false" customHeight="true" outlineLevel="0" collapsed="false">
      <c r="A180" s="14" t="n">
        <v>169</v>
      </c>
      <c r="B180" s="14" t="s">
        <v>221</v>
      </c>
      <c r="C180" s="14" t="s">
        <v>248</v>
      </c>
      <c r="D180" s="14" t="s">
        <v>249</v>
      </c>
      <c r="E180" s="15"/>
      <c r="F180" s="15"/>
    </row>
    <row r="181" customFormat="false" ht="15" hidden="false" customHeight="true" outlineLevel="0" collapsed="false">
      <c r="A181" s="14" t="n">
        <v>170</v>
      </c>
      <c r="B181" s="14" t="s">
        <v>221</v>
      </c>
      <c r="C181" s="14" t="s">
        <v>248</v>
      </c>
      <c r="D181" s="14" t="s">
        <v>250</v>
      </c>
      <c r="E181" s="15"/>
      <c r="F181" s="15"/>
    </row>
    <row r="182" customFormat="false" ht="15" hidden="false" customHeight="true" outlineLevel="0" collapsed="false">
      <c r="A182" s="14" t="n">
        <v>171</v>
      </c>
      <c r="B182" s="14" t="s">
        <v>221</v>
      </c>
      <c r="C182" s="14" t="s">
        <v>248</v>
      </c>
      <c r="D182" s="14" t="s">
        <v>251</v>
      </c>
      <c r="E182" s="15"/>
      <c r="F182" s="15"/>
    </row>
    <row r="183" customFormat="false" ht="15" hidden="false" customHeight="true" outlineLevel="0" collapsed="false">
      <c r="A183" s="14" t="n">
        <v>172</v>
      </c>
      <c r="B183" s="14" t="s">
        <v>221</v>
      </c>
      <c r="C183" s="14" t="s">
        <v>248</v>
      </c>
      <c r="D183" s="14" t="s">
        <v>252</v>
      </c>
      <c r="E183" s="15"/>
      <c r="F183" s="15"/>
    </row>
    <row r="184" customFormat="false" ht="15" hidden="false" customHeight="true" outlineLevel="0" collapsed="false">
      <c r="A184" s="14" t="n">
        <v>173</v>
      </c>
      <c r="B184" s="14" t="s">
        <v>221</v>
      </c>
      <c r="C184" s="14" t="s">
        <v>248</v>
      </c>
      <c r="D184" s="14" t="s">
        <v>253</v>
      </c>
      <c r="E184" s="15"/>
      <c r="F184" s="15"/>
    </row>
    <row r="185" customFormat="false" ht="15" hidden="false" customHeight="true" outlineLevel="0" collapsed="false">
      <c r="A185" s="14" t="n">
        <v>174</v>
      </c>
      <c r="B185" s="14" t="s">
        <v>221</v>
      </c>
      <c r="C185" s="14" t="s">
        <v>248</v>
      </c>
      <c r="D185" s="14" t="s">
        <v>254</v>
      </c>
      <c r="E185" s="15"/>
      <c r="F185" s="15"/>
    </row>
    <row r="186" customFormat="false" ht="15" hidden="false" customHeight="true" outlineLevel="0" collapsed="false">
      <c r="A186" s="14" t="n">
        <v>175</v>
      </c>
      <c r="B186" s="14" t="s">
        <v>221</v>
      </c>
      <c r="C186" s="14" t="s">
        <v>248</v>
      </c>
      <c r="D186" s="14" t="s">
        <v>255</v>
      </c>
      <c r="E186" s="15"/>
      <c r="F186" s="15"/>
    </row>
    <row r="187" customFormat="false" ht="15" hidden="false" customHeight="true" outlineLevel="0" collapsed="false">
      <c r="A187" s="14" t="n">
        <v>176</v>
      </c>
      <c r="B187" s="14" t="s">
        <v>221</v>
      </c>
      <c r="C187" s="14" t="s">
        <v>248</v>
      </c>
      <c r="D187" s="14" t="s">
        <v>256</v>
      </c>
      <c r="E187" s="15"/>
      <c r="F187" s="15"/>
    </row>
    <row r="188" customFormat="false" ht="15" hidden="false" customHeight="true" outlineLevel="0" collapsed="false">
      <c r="A188" s="14" t="n">
        <v>177</v>
      </c>
      <c r="B188" s="14" t="s">
        <v>221</v>
      </c>
      <c r="C188" s="14" t="s">
        <v>248</v>
      </c>
      <c r="D188" s="14" t="s">
        <v>257</v>
      </c>
      <c r="E188" s="15"/>
      <c r="F188" s="15"/>
    </row>
    <row r="189" customFormat="false" ht="15" hidden="false" customHeight="true" outlineLevel="0" collapsed="false">
      <c r="A189" s="14" t="n">
        <v>178</v>
      </c>
      <c r="B189" s="14" t="s">
        <v>221</v>
      </c>
      <c r="C189" s="14" t="s">
        <v>248</v>
      </c>
      <c r="D189" s="14" t="s">
        <v>258</v>
      </c>
      <c r="E189" s="15"/>
      <c r="F189" s="15"/>
    </row>
    <row r="190" customFormat="false" ht="15" hidden="false" customHeight="true" outlineLevel="0" collapsed="false">
      <c r="A190" s="14" t="n">
        <v>179</v>
      </c>
      <c r="B190" s="14" t="s">
        <v>221</v>
      </c>
      <c r="C190" s="14" t="s">
        <v>248</v>
      </c>
      <c r="D190" s="14" t="s">
        <v>259</v>
      </c>
      <c r="E190" s="15"/>
      <c r="F190" s="15"/>
    </row>
    <row r="191" customFormat="false" ht="15" hidden="false" customHeight="true" outlineLevel="0" collapsed="false">
      <c r="A191" s="14" t="n">
        <v>180</v>
      </c>
      <c r="B191" s="14" t="s">
        <v>221</v>
      </c>
      <c r="C191" s="14" t="s">
        <v>248</v>
      </c>
      <c r="D191" s="14" t="s">
        <v>260</v>
      </c>
      <c r="E191" s="15"/>
      <c r="F191" s="15"/>
    </row>
    <row r="192" customFormat="false" ht="15" hidden="false" customHeight="true" outlineLevel="0" collapsed="false">
      <c r="A192" s="14" t="n">
        <v>181</v>
      </c>
      <c r="B192" s="14" t="s">
        <v>221</v>
      </c>
      <c r="C192" s="14" t="s">
        <v>248</v>
      </c>
      <c r="D192" s="14" t="s">
        <v>261</v>
      </c>
      <c r="E192" s="15"/>
      <c r="F192" s="15"/>
    </row>
    <row r="193" customFormat="false" ht="15" hidden="false" customHeight="false" outlineLevel="0" collapsed="false">
      <c r="A193" s="13" t="s">
        <v>262</v>
      </c>
      <c r="B193" s="13"/>
      <c r="C193" s="13"/>
      <c r="D193" s="13"/>
      <c r="E193" s="13"/>
      <c r="F193" s="13"/>
    </row>
    <row r="194" customFormat="false" ht="15" hidden="false" customHeight="true" outlineLevel="0" collapsed="false">
      <c r="A194" s="14" t="n">
        <v>182</v>
      </c>
      <c r="B194" s="14" t="s">
        <v>263</v>
      </c>
      <c r="C194" s="14" t="s">
        <v>264</v>
      </c>
      <c r="D194" s="14" t="s">
        <v>265</v>
      </c>
      <c r="E194" s="15"/>
      <c r="F194" s="15"/>
    </row>
    <row r="195" customFormat="false" ht="15" hidden="false" customHeight="true" outlineLevel="0" collapsed="false">
      <c r="A195" s="14" t="n">
        <v>183</v>
      </c>
      <c r="B195" s="14" t="s">
        <v>263</v>
      </c>
      <c r="C195" s="14" t="s">
        <v>264</v>
      </c>
      <c r="D195" s="14" t="s">
        <v>266</v>
      </c>
      <c r="E195" s="15"/>
      <c r="F195" s="15"/>
    </row>
    <row r="196" customFormat="false" ht="15" hidden="false" customHeight="true" outlineLevel="0" collapsed="false">
      <c r="A196" s="14" t="n">
        <v>184</v>
      </c>
      <c r="B196" s="14" t="s">
        <v>263</v>
      </c>
      <c r="C196" s="14" t="s">
        <v>264</v>
      </c>
      <c r="D196" s="14" t="s">
        <v>267</v>
      </c>
      <c r="E196" s="15"/>
      <c r="F196" s="15"/>
    </row>
    <row r="197" customFormat="false" ht="15" hidden="false" customHeight="true" outlineLevel="0" collapsed="false">
      <c r="A197" s="14" t="n">
        <v>185</v>
      </c>
      <c r="B197" s="14" t="s">
        <v>263</v>
      </c>
      <c r="C197" s="14" t="s">
        <v>264</v>
      </c>
      <c r="D197" s="14" t="s">
        <v>268</v>
      </c>
      <c r="E197" s="15"/>
      <c r="F197" s="15"/>
    </row>
    <row r="198" customFormat="false" ht="15" hidden="false" customHeight="true" outlineLevel="0" collapsed="false">
      <c r="A198" s="14" t="n">
        <v>186</v>
      </c>
      <c r="B198" s="14" t="s">
        <v>263</v>
      </c>
      <c r="C198" s="14" t="s">
        <v>269</v>
      </c>
      <c r="D198" s="14" t="s">
        <v>270</v>
      </c>
      <c r="E198" s="15"/>
      <c r="F198" s="15"/>
    </row>
    <row r="199" customFormat="false" ht="15" hidden="false" customHeight="true" outlineLevel="0" collapsed="false">
      <c r="A199" s="14" t="n">
        <v>187</v>
      </c>
      <c r="B199" s="14" t="s">
        <v>263</v>
      </c>
      <c r="C199" s="14" t="s">
        <v>269</v>
      </c>
      <c r="D199" s="14" t="s">
        <v>271</v>
      </c>
      <c r="E199" s="15"/>
      <c r="F199" s="15"/>
    </row>
    <row r="200" customFormat="false" ht="15" hidden="false" customHeight="true" outlineLevel="0" collapsed="false">
      <c r="A200" s="14" t="n">
        <v>188</v>
      </c>
      <c r="B200" s="14" t="s">
        <v>263</v>
      </c>
      <c r="C200" s="14" t="s">
        <v>269</v>
      </c>
      <c r="D200" s="14" t="s">
        <v>272</v>
      </c>
      <c r="E200" s="15"/>
      <c r="F200" s="15"/>
    </row>
    <row r="201" customFormat="false" ht="15" hidden="false" customHeight="true" outlineLevel="0" collapsed="false">
      <c r="A201" s="14" t="n">
        <v>189</v>
      </c>
      <c r="B201" s="14" t="s">
        <v>263</v>
      </c>
      <c r="C201" s="14" t="s">
        <v>269</v>
      </c>
      <c r="D201" s="14" t="s">
        <v>273</v>
      </c>
      <c r="E201" s="15"/>
      <c r="F201" s="15"/>
    </row>
    <row r="202" customFormat="false" ht="15" hidden="false" customHeight="true" outlineLevel="0" collapsed="false">
      <c r="A202" s="14" t="n">
        <v>190</v>
      </c>
      <c r="B202" s="14" t="s">
        <v>263</v>
      </c>
      <c r="C202" s="14" t="s">
        <v>269</v>
      </c>
      <c r="D202" s="14" t="s">
        <v>274</v>
      </c>
      <c r="E202" s="15"/>
      <c r="F202" s="15"/>
    </row>
    <row r="203" customFormat="false" ht="15" hidden="false" customHeight="false" outlineLevel="0" collapsed="false">
      <c r="A203" s="13" t="s">
        <v>275</v>
      </c>
      <c r="B203" s="13"/>
      <c r="C203" s="13"/>
      <c r="D203" s="13"/>
      <c r="E203" s="13"/>
      <c r="F203" s="13"/>
    </row>
    <row r="204" customFormat="false" ht="15" hidden="false" customHeight="true" outlineLevel="0" collapsed="false">
      <c r="A204" s="14" t="n">
        <v>191</v>
      </c>
      <c r="B204" s="14" t="s">
        <v>276</v>
      </c>
      <c r="C204" s="14" t="s">
        <v>277</v>
      </c>
      <c r="D204" s="14" t="s">
        <v>278</v>
      </c>
      <c r="E204" s="15"/>
      <c r="F204" s="15"/>
    </row>
    <row r="205" customFormat="false" ht="15" hidden="false" customHeight="true" outlineLevel="0" collapsed="false">
      <c r="A205" s="14" t="n">
        <v>192</v>
      </c>
      <c r="B205" s="14" t="s">
        <v>276</v>
      </c>
      <c r="C205" s="14" t="s">
        <v>277</v>
      </c>
      <c r="D205" s="14" t="s">
        <v>279</v>
      </c>
      <c r="E205" s="15"/>
      <c r="F205" s="15"/>
    </row>
    <row r="206" customFormat="false" ht="15" hidden="false" customHeight="true" outlineLevel="0" collapsed="false">
      <c r="A206" s="14" t="n">
        <v>193</v>
      </c>
      <c r="B206" s="14" t="s">
        <v>276</v>
      </c>
      <c r="C206" s="14" t="s">
        <v>277</v>
      </c>
      <c r="D206" s="14" t="s">
        <v>280</v>
      </c>
      <c r="E206" s="15"/>
      <c r="F206" s="15"/>
    </row>
    <row r="207" customFormat="false" ht="15" hidden="false" customHeight="true" outlineLevel="0" collapsed="false">
      <c r="A207" s="14" t="n">
        <v>194</v>
      </c>
      <c r="B207" s="14" t="s">
        <v>276</v>
      </c>
      <c r="C207" s="14" t="s">
        <v>277</v>
      </c>
      <c r="D207" s="14" t="s">
        <v>281</v>
      </c>
      <c r="E207" s="15"/>
      <c r="F207" s="15"/>
    </row>
    <row r="208" customFormat="false" ht="15" hidden="false" customHeight="true" outlineLevel="0" collapsed="false">
      <c r="A208" s="14" t="n">
        <v>195</v>
      </c>
      <c r="B208" s="14" t="s">
        <v>276</v>
      </c>
      <c r="C208" s="14" t="s">
        <v>282</v>
      </c>
      <c r="D208" s="14" t="s">
        <v>283</v>
      </c>
      <c r="E208" s="15"/>
      <c r="F208" s="15"/>
    </row>
    <row r="209" customFormat="false" ht="15" hidden="false" customHeight="true" outlineLevel="0" collapsed="false">
      <c r="A209" s="14" t="n">
        <v>196</v>
      </c>
      <c r="B209" s="14" t="s">
        <v>276</v>
      </c>
      <c r="C209" s="14" t="s">
        <v>282</v>
      </c>
      <c r="D209" s="14" t="s">
        <v>284</v>
      </c>
      <c r="E209" s="15"/>
      <c r="F209" s="15"/>
    </row>
    <row r="210" customFormat="false" ht="15" hidden="false" customHeight="true" outlineLevel="0" collapsed="false">
      <c r="A210" s="14" t="n">
        <v>197</v>
      </c>
      <c r="B210" s="14" t="s">
        <v>276</v>
      </c>
      <c r="C210" s="14" t="s">
        <v>282</v>
      </c>
      <c r="D210" s="14" t="s">
        <v>285</v>
      </c>
      <c r="E210" s="15"/>
      <c r="F210" s="15"/>
    </row>
    <row r="211" customFormat="false" ht="15" hidden="false" customHeight="true" outlineLevel="0" collapsed="false">
      <c r="A211" s="14" t="n">
        <v>198</v>
      </c>
      <c r="B211" s="14" t="s">
        <v>276</v>
      </c>
      <c r="C211" s="14" t="s">
        <v>282</v>
      </c>
      <c r="D211" s="14" t="s">
        <v>286</v>
      </c>
      <c r="E211" s="15"/>
      <c r="F211" s="15"/>
    </row>
    <row r="212" customFormat="false" ht="15" hidden="false" customHeight="false" outlineLevel="0" collapsed="false">
      <c r="A212" s="13" t="s">
        <v>287</v>
      </c>
      <c r="B212" s="13"/>
      <c r="C212" s="13"/>
      <c r="D212" s="13"/>
      <c r="E212" s="13"/>
      <c r="F212" s="13"/>
    </row>
    <row r="213" customFormat="false" ht="15" hidden="false" customHeight="true" outlineLevel="0" collapsed="false">
      <c r="A213" s="14" t="n">
        <v>199</v>
      </c>
      <c r="B213" s="14" t="s">
        <v>288</v>
      </c>
      <c r="C213" s="14" t="s">
        <v>289</v>
      </c>
      <c r="D213" s="14" t="s">
        <v>290</v>
      </c>
      <c r="E213" s="15"/>
      <c r="F213" s="15"/>
    </row>
    <row r="214" customFormat="false" ht="15" hidden="false" customHeight="true" outlineLevel="0" collapsed="false">
      <c r="A214" s="14" t="n">
        <v>200</v>
      </c>
      <c r="B214" s="14" t="s">
        <v>288</v>
      </c>
      <c r="C214" s="14" t="s">
        <v>289</v>
      </c>
      <c r="D214" s="14" t="s">
        <v>291</v>
      </c>
      <c r="E214" s="15"/>
      <c r="F214" s="15"/>
    </row>
    <row r="215" customFormat="false" ht="15" hidden="false" customHeight="true" outlineLevel="0" collapsed="false">
      <c r="A215" s="14" t="n">
        <v>201</v>
      </c>
      <c r="B215" s="14" t="s">
        <v>288</v>
      </c>
      <c r="C215" s="14" t="s">
        <v>289</v>
      </c>
      <c r="D215" s="14" t="s">
        <v>292</v>
      </c>
      <c r="E215" s="15"/>
      <c r="F215" s="15"/>
    </row>
    <row r="216" customFormat="false" ht="15" hidden="false" customHeight="true" outlineLevel="0" collapsed="false">
      <c r="A216" s="14" t="n">
        <v>202</v>
      </c>
      <c r="B216" s="14" t="s">
        <v>288</v>
      </c>
      <c r="C216" s="14" t="s">
        <v>289</v>
      </c>
      <c r="D216" s="14" t="s">
        <v>293</v>
      </c>
      <c r="E216" s="15"/>
      <c r="F216" s="15"/>
    </row>
    <row r="217" customFormat="false" ht="15" hidden="false" customHeight="true" outlineLevel="0" collapsed="false">
      <c r="A217" s="14" t="n">
        <v>203</v>
      </c>
      <c r="B217" s="14" t="s">
        <v>288</v>
      </c>
      <c r="C217" s="14" t="s">
        <v>289</v>
      </c>
      <c r="D217" s="14" t="s">
        <v>294</v>
      </c>
      <c r="E217" s="15"/>
      <c r="F217" s="15"/>
    </row>
    <row r="218" customFormat="false" ht="15" hidden="false" customHeight="true" outlineLevel="0" collapsed="false">
      <c r="A218" s="14" t="n">
        <v>204</v>
      </c>
      <c r="B218" s="14" t="s">
        <v>288</v>
      </c>
      <c r="C218" s="14" t="s">
        <v>289</v>
      </c>
      <c r="D218" s="14" t="s">
        <v>295</v>
      </c>
      <c r="E218" s="15"/>
      <c r="F218" s="15"/>
    </row>
    <row r="219" customFormat="false" ht="15" hidden="false" customHeight="true" outlineLevel="0" collapsed="false">
      <c r="A219" s="14" t="n">
        <v>205</v>
      </c>
      <c r="B219" s="14" t="s">
        <v>288</v>
      </c>
      <c r="C219" s="14" t="s">
        <v>296</v>
      </c>
      <c r="D219" s="14" t="s">
        <v>297</v>
      </c>
      <c r="E219" s="15"/>
      <c r="F219" s="15"/>
    </row>
    <row r="220" customFormat="false" ht="15" hidden="false" customHeight="true" outlineLevel="0" collapsed="false">
      <c r="A220" s="14" t="n">
        <v>206</v>
      </c>
      <c r="B220" s="14" t="s">
        <v>288</v>
      </c>
      <c r="C220" s="14" t="s">
        <v>296</v>
      </c>
      <c r="D220" s="14" t="s">
        <v>298</v>
      </c>
      <c r="E220" s="15"/>
      <c r="F220" s="15"/>
    </row>
    <row r="221" customFormat="false" ht="15" hidden="false" customHeight="true" outlineLevel="0" collapsed="false">
      <c r="A221" s="14" t="n">
        <v>207</v>
      </c>
      <c r="B221" s="14" t="s">
        <v>288</v>
      </c>
      <c r="C221" s="14" t="s">
        <v>296</v>
      </c>
      <c r="D221" s="14" t="s">
        <v>299</v>
      </c>
      <c r="E221" s="15"/>
      <c r="F221" s="15"/>
    </row>
    <row r="222" customFormat="false" ht="15" hidden="false" customHeight="true" outlineLevel="0" collapsed="false">
      <c r="A222" s="14" t="n">
        <v>208</v>
      </c>
      <c r="B222" s="14" t="s">
        <v>288</v>
      </c>
      <c r="C222" s="14" t="s">
        <v>296</v>
      </c>
      <c r="D222" s="14" t="s">
        <v>300</v>
      </c>
      <c r="E222" s="15"/>
      <c r="F222" s="15"/>
    </row>
    <row r="223" customFormat="false" ht="15" hidden="false" customHeight="true" outlineLevel="0" collapsed="false">
      <c r="A223" s="14" t="n">
        <v>209</v>
      </c>
      <c r="B223" s="14" t="s">
        <v>288</v>
      </c>
      <c r="C223" s="14" t="s">
        <v>296</v>
      </c>
      <c r="D223" s="14" t="s">
        <v>301</v>
      </c>
      <c r="E223" s="15"/>
      <c r="F223" s="15"/>
    </row>
    <row r="224" customFormat="false" ht="15" hidden="false" customHeight="true" outlineLevel="0" collapsed="false">
      <c r="A224" s="14" t="n">
        <v>210</v>
      </c>
      <c r="B224" s="14" t="s">
        <v>288</v>
      </c>
      <c r="C224" s="14" t="s">
        <v>296</v>
      </c>
      <c r="D224" s="14" t="s">
        <v>302</v>
      </c>
      <c r="E224" s="15"/>
      <c r="F224" s="15"/>
    </row>
    <row r="225" customFormat="false" ht="15" hidden="false" customHeight="true" outlineLevel="0" collapsed="false">
      <c r="A225" s="14" t="n">
        <v>211</v>
      </c>
      <c r="B225" s="14" t="s">
        <v>288</v>
      </c>
      <c r="C225" s="14" t="s">
        <v>296</v>
      </c>
      <c r="D225" s="14" t="s">
        <v>303</v>
      </c>
      <c r="E225" s="15"/>
      <c r="F225" s="15"/>
    </row>
    <row r="226" customFormat="false" ht="15" hidden="false" customHeight="true" outlineLevel="0" collapsed="false">
      <c r="A226" s="14" t="n">
        <v>212</v>
      </c>
      <c r="B226" s="14" t="s">
        <v>288</v>
      </c>
      <c r="C226" s="14" t="s">
        <v>296</v>
      </c>
      <c r="D226" s="14" t="s">
        <v>304</v>
      </c>
      <c r="E226" s="15"/>
      <c r="F226" s="15"/>
    </row>
    <row r="227" customFormat="false" ht="15" hidden="false" customHeight="true" outlineLevel="0" collapsed="false">
      <c r="A227" s="14" t="n">
        <v>213</v>
      </c>
      <c r="B227" s="14" t="s">
        <v>288</v>
      </c>
      <c r="C227" s="14" t="s">
        <v>296</v>
      </c>
      <c r="D227" s="14" t="s">
        <v>305</v>
      </c>
      <c r="E227" s="15"/>
      <c r="F227" s="15"/>
    </row>
    <row r="228" customFormat="false" ht="15" hidden="false" customHeight="true" outlineLevel="0" collapsed="false">
      <c r="A228" s="14" t="n">
        <v>214</v>
      </c>
      <c r="B228" s="14" t="s">
        <v>288</v>
      </c>
      <c r="C228" s="14" t="s">
        <v>296</v>
      </c>
      <c r="D228" s="14" t="s">
        <v>306</v>
      </c>
      <c r="E228" s="15"/>
      <c r="F228" s="15"/>
    </row>
    <row r="229" customFormat="false" ht="15" hidden="false" customHeight="true" outlineLevel="0" collapsed="false">
      <c r="A229" s="14" t="n">
        <v>215</v>
      </c>
      <c r="B229" s="14" t="s">
        <v>288</v>
      </c>
      <c r="C229" s="14" t="s">
        <v>296</v>
      </c>
      <c r="D229" s="14" t="s">
        <v>307</v>
      </c>
      <c r="E229" s="15"/>
      <c r="F229" s="15"/>
    </row>
    <row r="230" customFormat="false" ht="15" hidden="false" customHeight="true" outlineLevel="0" collapsed="false">
      <c r="A230" s="14" t="n">
        <v>216</v>
      </c>
      <c r="B230" s="14" t="s">
        <v>288</v>
      </c>
      <c r="C230" s="14" t="s">
        <v>296</v>
      </c>
      <c r="D230" s="14" t="s">
        <v>308</v>
      </c>
      <c r="E230" s="15"/>
      <c r="F230" s="15"/>
    </row>
    <row r="231" customFormat="false" ht="15" hidden="false" customHeight="true" outlineLevel="0" collapsed="false">
      <c r="A231" s="14" t="n">
        <v>217</v>
      </c>
      <c r="B231" s="14" t="s">
        <v>288</v>
      </c>
      <c r="C231" s="14" t="s">
        <v>296</v>
      </c>
      <c r="D231" s="14" t="s">
        <v>309</v>
      </c>
      <c r="E231" s="15"/>
      <c r="F231" s="15"/>
    </row>
    <row r="232" customFormat="false" ht="15" hidden="false" customHeight="true" outlineLevel="0" collapsed="false">
      <c r="A232" s="14" t="n">
        <v>218</v>
      </c>
      <c r="B232" s="14" t="s">
        <v>288</v>
      </c>
      <c r="C232" s="14" t="s">
        <v>296</v>
      </c>
      <c r="D232" s="14" t="s">
        <v>310</v>
      </c>
      <c r="E232" s="15"/>
      <c r="F232" s="15"/>
    </row>
    <row r="233" customFormat="false" ht="15" hidden="false" customHeight="true" outlineLevel="0" collapsed="false">
      <c r="A233" s="14" t="n">
        <v>219</v>
      </c>
      <c r="B233" s="14" t="s">
        <v>288</v>
      </c>
      <c r="C233" s="14" t="s">
        <v>296</v>
      </c>
      <c r="D233" s="14" t="s">
        <v>311</v>
      </c>
      <c r="E233" s="15"/>
      <c r="F233" s="15"/>
    </row>
    <row r="234" customFormat="false" ht="15" hidden="false" customHeight="true" outlineLevel="0" collapsed="false">
      <c r="A234" s="14" t="n">
        <v>220</v>
      </c>
      <c r="B234" s="14" t="s">
        <v>288</v>
      </c>
      <c r="C234" s="14" t="s">
        <v>312</v>
      </c>
      <c r="D234" s="14" t="s">
        <v>313</v>
      </c>
      <c r="E234" s="15"/>
      <c r="F234" s="15"/>
    </row>
    <row r="235" customFormat="false" ht="15" hidden="false" customHeight="true" outlineLevel="0" collapsed="false">
      <c r="A235" s="14" t="n">
        <v>221</v>
      </c>
      <c r="B235" s="14" t="s">
        <v>288</v>
      </c>
      <c r="C235" s="14" t="s">
        <v>312</v>
      </c>
      <c r="D235" s="14" t="s">
        <v>314</v>
      </c>
      <c r="E235" s="15"/>
      <c r="F235" s="15"/>
    </row>
  </sheetData>
  <autoFilter ref="A5:F235"/>
  <mergeCells count="9">
    <mergeCell ref="A6:F6"/>
    <mergeCell ref="A48:F48"/>
    <mergeCell ref="A92:F92"/>
    <mergeCell ref="A120:F120"/>
    <mergeCell ref="A143:F143"/>
    <mergeCell ref="A156:F156"/>
    <mergeCell ref="A193:F193"/>
    <mergeCell ref="A203:F203"/>
    <mergeCell ref="A212:F2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5" min="5" style="0" width="46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40"/>
  </cols>
  <sheetData>
    <row r="1" customFormat="false" ht="19.7" hidden="false" customHeight="false" outlineLevel="0" collapsed="false">
      <c r="A1" s="11" t="s">
        <v>315</v>
      </c>
    </row>
    <row r="2" customFormat="false" ht="15" hidden="false" customHeight="false" outlineLevel="0" collapsed="false">
      <c r="A2" s="10" t="s">
        <v>316</v>
      </c>
    </row>
    <row r="3" customFormat="false" ht="15" hidden="false" customHeight="false" outlineLevel="0" collapsed="false">
      <c r="A3" s="10" t="s">
        <v>317</v>
      </c>
    </row>
    <row r="5" customFormat="false" ht="24" hidden="false" customHeight="true" outlineLevel="0" collapsed="false">
      <c r="A5" s="12" t="s">
        <v>318</v>
      </c>
      <c r="B5" s="12" t="s">
        <v>45</v>
      </c>
      <c r="C5" s="12" t="s">
        <v>319</v>
      </c>
      <c r="D5" s="12" t="s">
        <v>320</v>
      </c>
      <c r="E5" s="12" t="s">
        <v>321</v>
      </c>
      <c r="F5" s="12" t="s">
        <v>322</v>
      </c>
      <c r="G5" s="12" t="s">
        <v>46</v>
      </c>
      <c r="H5" s="12" t="s">
        <v>323</v>
      </c>
      <c r="I5" s="12" t="s">
        <v>324</v>
      </c>
      <c r="J5" s="12" t="s">
        <v>47</v>
      </c>
    </row>
    <row r="6" customFormat="false" ht="15" hidden="false" customHeight="false" outlineLevel="0" collapsed="false">
      <c r="A6" s="13" t="s">
        <v>27</v>
      </c>
      <c r="B6" s="13"/>
      <c r="C6" s="13"/>
      <c r="D6" s="13"/>
      <c r="E6" s="13"/>
      <c r="F6" s="13"/>
      <c r="G6" s="13"/>
      <c r="H6" s="13"/>
      <c r="I6" s="13"/>
      <c r="J6" s="13"/>
    </row>
    <row r="7" customFormat="false" ht="55.5" hidden="false" customHeight="true" outlineLevel="0" collapsed="false">
      <c r="A7" s="16" t="s">
        <v>325</v>
      </c>
      <c r="B7" s="14" t="s">
        <v>326</v>
      </c>
      <c r="C7" s="17" t="s">
        <v>327</v>
      </c>
      <c r="D7" s="14" t="s">
        <v>328</v>
      </c>
      <c r="E7" s="14" t="s">
        <v>329</v>
      </c>
      <c r="F7" s="14" t="s">
        <v>330</v>
      </c>
      <c r="G7" s="15"/>
      <c r="H7" s="15"/>
      <c r="I7" s="18"/>
      <c r="J7" s="15"/>
    </row>
    <row r="8" customFormat="false" ht="55.5" hidden="false" customHeight="true" outlineLevel="0" collapsed="false">
      <c r="A8" s="16" t="s">
        <v>331</v>
      </c>
      <c r="B8" s="14" t="s">
        <v>332</v>
      </c>
      <c r="C8" s="17" t="s">
        <v>327</v>
      </c>
      <c r="D8" s="14" t="s">
        <v>333</v>
      </c>
      <c r="E8" s="14" t="s">
        <v>334</v>
      </c>
      <c r="F8" s="14" t="s">
        <v>335</v>
      </c>
      <c r="G8" s="15"/>
      <c r="H8" s="15"/>
      <c r="I8" s="18"/>
      <c r="J8" s="15"/>
    </row>
    <row r="9" customFormat="false" ht="55.5" hidden="false" customHeight="true" outlineLevel="0" collapsed="false">
      <c r="A9" s="16" t="s">
        <v>336</v>
      </c>
      <c r="B9" s="14" t="s">
        <v>337</v>
      </c>
      <c r="C9" s="17" t="s">
        <v>338</v>
      </c>
      <c r="D9" s="14" t="s">
        <v>339</v>
      </c>
      <c r="E9" s="14" t="s">
        <v>340</v>
      </c>
      <c r="F9" s="14" t="s">
        <v>341</v>
      </c>
      <c r="G9" s="15"/>
      <c r="H9" s="15"/>
      <c r="I9" s="18"/>
      <c r="J9" s="15"/>
    </row>
    <row r="10" customFormat="false" ht="55.5" hidden="false" customHeight="true" outlineLevel="0" collapsed="false">
      <c r="A10" s="16" t="s">
        <v>342</v>
      </c>
      <c r="B10" s="14" t="s">
        <v>343</v>
      </c>
      <c r="C10" s="17" t="s">
        <v>344</v>
      </c>
      <c r="D10" s="14" t="s">
        <v>345</v>
      </c>
      <c r="E10" s="14" t="s">
        <v>346</v>
      </c>
      <c r="F10" s="14" t="s">
        <v>347</v>
      </c>
      <c r="G10" s="15"/>
      <c r="H10" s="15"/>
      <c r="I10" s="18"/>
      <c r="J10" s="15"/>
    </row>
    <row r="11" customFormat="false" ht="55.5" hidden="false" customHeight="true" outlineLevel="0" collapsed="false">
      <c r="A11" s="16" t="s">
        <v>348</v>
      </c>
      <c r="B11" s="14" t="s">
        <v>349</v>
      </c>
      <c r="C11" s="17" t="s">
        <v>327</v>
      </c>
      <c r="D11" s="14" t="s">
        <v>350</v>
      </c>
      <c r="E11" s="14" t="s">
        <v>351</v>
      </c>
      <c r="F11" s="14" t="s">
        <v>352</v>
      </c>
      <c r="G11" s="15"/>
      <c r="H11" s="15"/>
      <c r="I11" s="18"/>
      <c r="J11" s="15"/>
    </row>
    <row r="12" customFormat="false" ht="15" hidden="false" customHeight="false" outlineLevel="0" collapsed="false">
      <c r="A12" s="13" t="s">
        <v>29</v>
      </c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55.5" hidden="false" customHeight="true" outlineLevel="0" collapsed="false">
      <c r="A13" s="16" t="s">
        <v>353</v>
      </c>
      <c r="B13" s="14" t="s">
        <v>354</v>
      </c>
      <c r="C13" s="17" t="s">
        <v>355</v>
      </c>
      <c r="D13" s="14" t="s">
        <v>345</v>
      </c>
      <c r="E13" s="14" t="s">
        <v>356</v>
      </c>
      <c r="F13" s="14" t="s">
        <v>357</v>
      </c>
      <c r="G13" s="15"/>
      <c r="H13" s="15"/>
      <c r="I13" s="18"/>
      <c r="J13" s="15"/>
    </row>
    <row r="14" customFormat="false" ht="55.5" hidden="false" customHeight="true" outlineLevel="0" collapsed="false">
      <c r="A14" s="16" t="s">
        <v>358</v>
      </c>
      <c r="B14" s="14" t="s">
        <v>359</v>
      </c>
      <c r="C14" s="17" t="s">
        <v>338</v>
      </c>
      <c r="D14" s="14" t="s">
        <v>360</v>
      </c>
      <c r="E14" s="14" t="s">
        <v>361</v>
      </c>
      <c r="F14" s="14" t="s">
        <v>362</v>
      </c>
      <c r="G14" s="15"/>
      <c r="H14" s="15"/>
      <c r="I14" s="18"/>
      <c r="J14" s="15"/>
    </row>
    <row r="15" customFormat="false" ht="55.5" hidden="false" customHeight="true" outlineLevel="0" collapsed="false">
      <c r="A15" s="16" t="s">
        <v>363</v>
      </c>
      <c r="B15" s="14" t="s">
        <v>364</v>
      </c>
      <c r="C15" s="17" t="s">
        <v>355</v>
      </c>
      <c r="D15" s="14" t="s">
        <v>365</v>
      </c>
      <c r="E15" s="14" t="s">
        <v>366</v>
      </c>
      <c r="F15" s="14" t="s">
        <v>367</v>
      </c>
      <c r="G15" s="15"/>
      <c r="H15" s="15"/>
      <c r="I15" s="18"/>
      <c r="J15" s="15"/>
    </row>
    <row r="16" customFormat="false" ht="55.5" hidden="false" customHeight="true" outlineLevel="0" collapsed="false">
      <c r="A16" s="16" t="s">
        <v>368</v>
      </c>
      <c r="B16" s="14" t="s">
        <v>369</v>
      </c>
      <c r="C16" s="17" t="s">
        <v>344</v>
      </c>
      <c r="D16" s="14" t="s">
        <v>360</v>
      </c>
      <c r="E16" s="14" t="s">
        <v>370</v>
      </c>
      <c r="F16" s="14" t="s">
        <v>371</v>
      </c>
      <c r="G16" s="15"/>
      <c r="H16" s="15"/>
      <c r="I16" s="18"/>
      <c r="J16" s="15"/>
    </row>
    <row r="17" customFormat="false" ht="55.5" hidden="false" customHeight="true" outlineLevel="0" collapsed="false">
      <c r="A17" s="16" t="s">
        <v>372</v>
      </c>
      <c r="B17" s="14" t="s">
        <v>373</v>
      </c>
      <c r="C17" s="17" t="s">
        <v>327</v>
      </c>
      <c r="D17" s="14" t="s">
        <v>374</v>
      </c>
      <c r="E17" s="14" t="s">
        <v>375</v>
      </c>
      <c r="F17" s="14" t="s">
        <v>376</v>
      </c>
      <c r="G17" s="15"/>
      <c r="H17" s="15"/>
      <c r="I17" s="18"/>
      <c r="J17" s="15"/>
    </row>
    <row r="18" customFormat="false" ht="55.5" hidden="false" customHeight="true" outlineLevel="0" collapsed="false">
      <c r="A18" s="16" t="s">
        <v>377</v>
      </c>
      <c r="B18" s="14" t="s">
        <v>378</v>
      </c>
      <c r="C18" s="17" t="s">
        <v>327</v>
      </c>
      <c r="D18" s="14" t="s">
        <v>379</v>
      </c>
      <c r="E18" s="14" t="s">
        <v>380</v>
      </c>
      <c r="F18" s="14" t="s">
        <v>381</v>
      </c>
      <c r="G18" s="15"/>
      <c r="H18" s="15"/>
      <c r="I18" s="18"/>
      <c r="J18" s="15"/>
    </row>
    <row r="19" customFormat="false" ht="15" hidden="false" customHeight="false" outlineLevel="0" collapsed="false">
      <c r="A19" s="13" t="s">
        <v>30</v>
      </c>
      <c r="B19" s="13"/>
      <c r="C19" s="13"/>
      <c r="D19" s="13"/>
      <c r="E19" s="13"/>
      <c r="F19" s="13"/>
      <c r="G19" s="13"/>
      <c r="H19" s="13"/>
      <c r="I19" s="13"/>
      <c r="J19" s="13"/>
    </row>
    <row r="20" customFormat="false" ht="55.5" hidden="false" customHeight="true" outlineLevel="0" collapsed="false">
      <c r="A20" s="16" t="s">
        <v>382</v>
      </c>
      <c r="B20" s="14" t="s">
        <v>383</v>
      </c>
      <c r="C20" s="17" t="s">
        <v>344</v>
      </c>
      <c r="D20" s="14" t="s">
        <v>384</v>
      </c>
      <c r="E20" s="14" t="s">
        <v>385</v>
      </c>
      <c r="F20" s="14" t="s">
        <v>386</v>
      </c>
      <c r="G20" s="15"/>
      <c r="H20" s="15"/>
      <c r="I20" s="18"/>
      <c r="J20" s="15"/>
    </row>
    <row r="21" customFormat="false" ht="55.5" hidden="false" customHeight="true" outlineLevel="0" collapsed="false">
      <c r="A21" s="16" t="s">
        <v>387</v>
      </c>
      <c r="B21" s="14" t="s">
        <v>388</v>
      </c>
      <c r="C21" s="17" t="s">
        <v>327</v>
      </c>
      <c r="D21" s="14" t="s">
        <v>389</v>
      </c>
      <c r="E21" s="14" t="s">
        <v>390</v>
      </c>
      <c r="F21" s="14" t="s">
        <v>391</v>
      </c>
      <c r="G21" s="15"/>
      <c r="H21" s="15"/>
      <c r="I21" s="18"/>
      <c r="J21" s="15"/>
    </row>
    <row r="22" customFormat="false" ht="55.5" hidden="false" customHeight="true" outlineLevel="0" collapsed="false">
      <c r="A22" s="16" t="s">
        <v>392</v>
      </c>
      <c r="B22" s="14" t="s">
        <v>393</v>
      </c>
      <c r="C22" s="17" t="s">
        <v>344</v>
      </c>
      <c r="D22" s="14" t="s">
        <v>394</v>
      </c>
      <c r="E22" s="14" t="s">
        <v>395</v>
      </c>
      <c r="F22" s="14" t="s">
        <v>396</v>
      </c>
      <c r="G22" s="15"/>
      <c r="H22" s="15"/>
      <c r="I22" s="18"/>
      <c r="J22" s="15"/>
    </row>
    <row r="23" customFormat="false" ht="55.5" hidden="false" customHeight="true" outlineLevel="0" collapsed="false">
      <c r="A23" s="16" t="s">
        <v>397</v>
      </c>
      <c r="B23" s="14" t="s">
        <v>398</v>
      </c>
      <c r="C23" s="17" t="s">
        <v>327</v>
      </c>
      <c r="D23" s="14" t="s">
        <v>399</v>
      </c>
      <c r="E23" s="14" t="s">
        <v>400</v>
      </c>
      <c r="F23" s="14" t="s">
        <v>401</v>
      </c>
      <c r="G23" s="15"/>
      <c r="H23" s="15"/>
      <c r="I23" s="18"/>
      <c r="J23" s="15"/>
    </row>
    <row r="24" customFormat="false" ht="55.5" hidden="false" customHeight="true" outlineLevel="0" collapsed="false">
      <c r="A24" s="16" t="s">
        <v>402</v>
      </c>
      <c r="B24" s="14" t="s">
        <v>403</v>
      </c>
      <c r="C24" s="17" t="s">
        <v>338</v>
      </c>
      <c r="D24" s="14" t="s">
        <v>384</v>
      </c>
      <c r="E24" s="14" t="s">
        <v>404</v>
      </c>
      <c r="F24" s="14" t="s">
        <v>405</v>
      </c>
      <c r="G24" s="15"/>
      <c r="H24" s="15"/>
      <c r="I24" s="18"/>
      <c r="J24" s="15"/>
    </row>
    <row r="25" customFormat="false" ht="15" hidden="false" customHeight="false" outlineLevel="0" collapsed="false">
      <c r="A25" s="13" t="s">
        <v>31</v>
      </c>
      <c r="B25" s="13"/>
      <c r="C25" s="13"/>
      <c r="D25" s="13"/>
      <c r="E25" s="13"/>
      <c r="F25" s="13"/>
      <c r="G25" s="13"/>
      <c r="H25" s="13"/>
      <c r="I25" s="13"/>
      <c r="J25" s="13"/>
    </row>
    <row r="26" customFormat="false" ht="55.5" hidden="false" customHeight="true" outlineLevel="0" collapsed="false">
      <c r="A26" s="16" t="s">
        <v>406</v>
      </c>
      <c r="B26" s="14" t="s">
        <v>407</v>
      </c>
      <c r="C26" s="17" t="s">
        <v>344</v>
      </c>
      <c r="D26" s="14" t="s">
        <v>408</v>
      </c>
      <c r="E26" s="14" t="s">
        <v>409</v>
      </c>
      <c r="F26" s="14" t="s">
        <v>410</v>
      </c>
      <c r="G26" s="15"/>
      <c r="H26" s="15"/>
      <c r="I26" s="18"/>
      <c r="J26" s="15"/>
    </row>
    <row r="27" customFormat="false" ht="55.5" hidden="false" customHeight="true" outlineLevel="0" collapsed="false">
      <c r="A27" s="16" t="s">
        <v>411</v>
      </c>
      <c r="B27" s="14" t="s">
        <v>412</v>
      </c>
      <c r="C27" s="17" t="s">
        <v>344</v>
      </c>
      <c r="D27" s="14" t="s">
        <v>413</v>
      </c>
      <c r="E27" s="14" t="s">
        <v>414</v>
      </c>
      <c r="F27" s="14" t="s">
        <v>415</v>
      </c>
      <c r="G27" s="15"/>
      <c r="H27" s="15"/>
      <c r="I27" s="18"/>
      <c r="J27" s="15"/>
    </row>
    <row r="28" customFormat="false" ht="55.5" hidden="false" customHeight="true" outlineLevel="0" collapsed="false">
      <c r="A28" s="16" t="s">
        <v>416</v>
      </c>
      <c r="B28" s="14" t="s">
        <v>417</v>
      </c>
      <c r="C28" s="17" t="s">
        <v>327</v>
      </c>
      <c r="D28" s="14" t="s">
        <v>418</v>
      </c>
      <c r="E28" s="14" t="s">
        <v>419</v>
      </c>
      <c r="F28" s="14" t="s">
        <v>420</v>
      </c>
      <c r="G28" s="15"/>
      <c r="H28" s="15"/>
      <c r="I28" s="18"/>
      <c r="J28" s="15"/>
    </row>
    <row r="29" customFormat="false" ht="55.5" hidden="false" customHeight="true" outlineLevel="0" collapsed="false">
      <c r="A29" s="16" t="s">
        <v>421</v>
      </c>
      <c r="B29" s="14" t="s">
        <v>422</v>
      </c>
      <c r="C29" s="17" t="s">
        <v>344</v>
      </c>
      <c r="D29" s="14" t="s">
        <v>423</v>
      </c>
      <c r="E29" s="14" t="s">
        <v>424</v>
      </c>
      <c r="F29" s="14" t="s">
        <v>425</v>
      </c>
      <c r="G29" s="15"/>
      <c r="H29" s="15"/>
      <c r="I29" s="18"/>
      <c r="J29" s="15"/>
    </row>
    <row r="30" customFormat="false" ht="55.5" hidden="false" customHeight="true" outlineLevel="0" collapsed="false">
      <c r="A30" s="16" t="s">
        <v>426</v>
      </c>
      <c r="B30" s="14" t="s">
        <v>427</v>
      </c>
      <c r="C30" s="17" t="s">
        <v>327</v>
      </c>
      <c r="D30" s="14" t="s">
        <v>428</v>
      </c>
      <c r="E30" s="14" t="s">
        <v>429</v>
      </c>
      <c r="F30" s="14" t="s">
        <v>430</v>
      </c>
      <c r="G30" s="15"/>
      <c r="H30" s="15"/>
      <c r="I30" s="18"/>
      <c r="J30" s="15"/>
    </row>
    <row r="31" customFormat="false" ht="55.5" hidden="false" customHeight="true" outlineLevel="0" collapsed="false">
      <c r="A31" s="16" t="s">
        <v>431</v>
      </c>
      <c r="B31" s="14" t="s">
        <v>432</v>
      </c>
      <c r="C31" s="17" t="s">
        <v>338</v>
      </c>
      <c r="D31" s="14" t="s">
        <v>345</v>
      </c>
      <c r="E31" s="14" t="s">
        <v>433</v>
      </c>
      <c r="F31" s="14" t="s">
        <v>434</v>
      </c>
      <c r="G31" s="15"/>
      <c r="H31" s="15"/>
      <c r="I31" s="18"/>
      <c r="J31" s="15"/>
    </row>
    <row r="32" customFormat="false" ht="55.5" hidden="false" customHeight="true" outlineLevel="0" collapsed="false">
      <c r="A32" s="16" t="s">
        <v>435</v>
      </c>
      <c r="B32" s="14" t="s">
        <v>436</v>
      </c>
      <c r="C32" s="17" t="s">
        <v>338</v>
      </c>
      <c r="D32" s="14" t="s">
        <v>345</v>
      </c>
      <c r="E32" s="14" t="s">
        <v>437</v>
      </c>
      <c r="F32" s="14" t="s">
        <v>438</v>
      </c>
      <c r="G32" s="15"/>
      <c r="H32" s="15"/>
      <c r="I32" s="18"/>
      <c r="J32" s="15"/>
    </row>
    <row r="33" customFormat="false" ht="15" hidden="false" customHeight="false" outlineLevel="0" collapsed="false">
      <c r="A33" s="13" t="s">
        <v>32</v>
      </c>
      <c r="B33" s="13"/>
      <c r="C33" s="13"/>
      <c r="D33" s="13"/>
      <c r="E33" s="13"/>
      <c r="F33" s="13"/>
      <c r="G33" s="13"/>
      <c r="H33" s="13"/>
      <c r="I33" s="13"/>
      <c r="J33" s="13"/>
    </row>
    <row r="34" customFormat="false" ht="55.5" hidden="false" customHeight="true" outlineLevel="0" collapsed="false">
      <c r="A34" s="16" t="s">
        <v>439</v>
      </c>
      <c r="B34" s="14" t="s">
        <v>440</v>
      </c>
      <c r="C34" s="17" t="s">
        <v>338</v>
      </c>
      <c r="D34" s="14" t="s">
        <v>345</v>
      </c>
      <c r="E34" s="14" t="s">
        <v>441</v>
      </c>
      <c r="F34" s="14" t="s">
        <v>442</v>
      </c>
      <c r="G34" s="15"/>
      <c r="H34" s="15"/>
      <c r="I34" s="18"/>
      <c r="J34" s="15"/>
    </row>
    <row r="35" customFormat="false" ht="55.5" hidden="false" customHeight="true" outlineLevel="0" collapsed="false">
      <c r="A35" s="16" t="s">
        <v>443</v>
      </c>
      <c r="B35" s="14" t="s">
        <v>444</v>
      </c>
      <c r="C35" s="17" t="s">
        <v>344</v>
      </c>
      <c r="D35" s="14" t="s">
        <v>445</v>
      </c>
      <c r="E35" s="14" t="s">
        <v>446</v>
      </c>
      <c r="F35" s="14" t="s">
        <v>447</v>
      </c>
      <c r="G35" s="15"/>
      <c r="H35" s="15"/>
      <c r="I35" s="18"/>
      <c r="J35" s="15"/>
    </row>
    <row r="36" customFormat="false" ht="55.5" hidden="false" customHeight="true" outlineLevel="0" collapsed="false">
      <c r="A36" s="16" t="s">
        <v>448</v>
      </c>
      <c r="B36" s="14" t="s">
        <v>449</v>
      </c>
      <c r="C36" s="17" t="s">
        <v>355</v>
      </c>
      <c r="D36" s="14" t="s">
        <v>345</v>
      </c>
      <c r="E36" s="14" t="s">
        <v>450</v>
      </c>
      <c r="F36" s="14" t="s">
        <v>451</v>
      </c>
      <c r="G36" s="15"/>
      <c r="H36" s="15"/>
      <c r="I36" s="18"/>
      <c r="J36" s="15"/>
    </row>
    <row r="37" customFormat="false" ht="55.5" hidden="false" customHeight="true" outlineLevel="0" collapsed="false">
      <c r="A37" s="16" t="s">
        <v>452</v>
      </c>
      <c r="B37" s="14" t="s">
        <v>453</v>
      </c>
      <c r="C37" s="17" t="s">
        <v>338</v>
      </c>
      <c r="D37" s="14" t="s">
        <v>345</v>
      </c>
      <c r="E37" s="14" t="s">
        <v>454</v>
      </c>
      <c r="F37" s="14" t="s">
        <v>455</v>
      </c>
      <c r="G37" s="15"/>
      <c r="H37" s="15"/>
      <c r="I37" s="18"/>
      <c r="J37" s="15"/>
    </row>
    <row r="38" customFormat="false" ht="15" hidden="false" customHeight="false" outlineLevel="0" collapsed="false">
      <c r="A38" s="13" t="s">
        <v>33</v>
      </c>
      <c r="B38" s="13"/>
      <c r="C38" s="13"/>
      <c r="D38" s="13"/>
      <c r="E38" s="13"/>
      <c r="F38" s="13"/>
      <c r="G38" s="13"/>
      <c r="H38" s="13"/>
      <c r="I38" s="13"/>
      <c r="J38" s="13"/>
    </row>
    <row r="39" customFormat="false" ht="55.5" hidden="false" customHeight="true" outlineLevel="0" collapsed="false">
      <c r="A39" s="16" t="s">
        <v>456</v>
      </c>
      <c r="B39" s="14" t="s">
        <v>457</v>
      </c>
      <c r="C39" s="17" t="s">
        <v>344</v>
      </c>
      <c r="D39" s="14" t="s">
        <v>345</v>
      </c>
      <c r="E39" s="14" t="s">
        <v>458</v>
      </c>
      <c r="F39" s="14" t="s">
        <v>459</v>
      </c>
      <c r="G39" s="15"/>
      <c r="H39" s="15"/>
      <c r="I39" s="18"/>
      <c r="J39" s="15"/>
    </row>
    <row r="40" customFormat="false" ht="55.5" hidden="false" customHeight="true" outlineLevel="0" collapsed="false">
      <c r="A40" s="16" t="s">
        <v>460</v>
      </c>
      <c r="B40" s="14" t="s">
        <v>461</v>
      </c>
      <c r="C40" s="17" t="s">
        <v>344</v>
      </c>
      <c r="D40" s="14" t="s">
        <v>462</v>
      </c>
      <c r="E40" s="14" t="s">
        <v>463</v>
      </c>
      <c r="F40" s="14" t="s">
        <v>464</v>
      </c>
      <c r="G40" s="15"/>
      <c r="H40" s="15"/>
      <c r="I40" s="18"/>
      <c r="J40" s="15"/>
    </row>
    <row r="41" customFormat="false" ht="55.5" hidden="false" customHeight="true" outlineLevel="0" collapsed="false">
      <c r="A41" s="16" t="s">
        <v>465</v>
      </c>
      <c r="B41" s="14" t="s">
        <v>466</v>
      </c>
      <c r="C41" s="17" t="s">
        <v>338</v>
      </c>
      <c r="D41" s="14" t="s">
        <v>467</v>
      </c>
      <c r="E41" s="14" t="s">
        <v>468</v>
      </c>
      <c r="F41" s="14" t="s">
        <v>469</v>
      </c>
      <c r="G41" s="15"/>
      <c r="H41" s="15"/>
      <c r="I41" s="18"/>
      <c r="J41" s="15"/>
    </row>
    <row r="42" customFormat="false" ht="55.5" hidden="false" customHeight="true" outlineLevel="0" collapsed="false">
      <c r="A42" s="16" t="s">
        <v>470</v>
      </c>
      <c r="B42" s="14" t="s">
        <v>471</v>
      </c>
      <c r="C42" s="17" t="s">
        <v>338</v>
      </c>
      <c r="D42" s="14" t="s">
        <v>345</v>
      </c>
      <c r="E42" s="14" t="s">
        <v>472</v>
      </c>
      <c r="F42" s="14" t="s">
        <v>473</v>
      </c>
      <c r="G42" s="15"/>
      <c r="H42" s="15"/>
      <c r="I42" s="18"/>
      <c r="J42" s="15"/>
    </row>
    <row r="43" customFormat="false" ht="55.5" hidden="false" customHeight="true" outlineLevel="0" collapsed="false">
      <c r="A43" s="16" t="s">
        <v>474</v>
      </c>
      <c r="B43" s="14" t="s">
        <v>475</v>
      </c>
      <c r="C43" s="17" t="s">
        <v>327</v>
      </c>
      <c r="D43" s="14" t="s">
        <v>345</v>
      </c>
      <c r="E43" s="14" t="s">
        <v>476</v>
      </c>
      <c r="F43" s="14" t="s">
        <v>477</v>
      </c>
      <c r="G43" s="15"/>
      <c r="H43" s="15"/>
      <c r="I43" s="18"/>
      <c r="J43" s="15"/>
    </row>
    <row r="44" customFormat="false" ht="55.5" hidden="false" customHeight="true" outlineLevel="0" collapsed="false">
      <c r="A44" s="16" t="s">
        <v>478</v>
      </c>
      <c r="B44" s="14" t="s">
        <v>479</v>
      </c>
      <c r="C44" s="17" t="s">
        <v>344</v>
      </c>
      <c r="D44" s="14" t="s">
        <v>480</v>
      </c>
      <c r="E44" s="14" t="s">
        <v>481</v>
      </c>
      <c r="F44" s="14" t="s">
        <v>482</v>
      </c>
      <c r="G44" s="15"/>
      <c r="H44" s="15"/>
      <c r="I44" s="18"/>
      <c r="J44" s="15"/>
    </row>
    <row r="45" customFormat="false" ht="15" hidden="false" customHeight="false" outlineLevel="0" collapsed="false">
      <c r="A45" s="13" t="s">
        <v>34</v>
      </c>
      <c r="B45" s="13"/>
      <c r="C45" s="13"/>
      <c r="D45" s="13"/>
      <c r="E45" s="13"/>
      <c r="F45" s="13"/>
      <c r="G45" s="13"/>
      <c r="H45" s="13"/>
      <c r="I45" s="13"/>
      <c r="J45" s="13"/>
    </row>
    <row r="46" customFormat="false" ht="55.5" hidden="false" customHeight="true" outlineLevel="0" collapsed="false">
      <c r="A46" s="16" t="s">
        <v>483</v>
      </c>
      <c r="B46" s="14" t="s">
        <v>484</v>
      </c>
      <c r="C46" s="17" t="s">
        <v>327</v>
      </c>
      <c r="D46" s="14" t="s">
        <v>485</v>
      </c>
      <c r="E46" s="14" t="s">
        <v>486</v>
      </c>
      <c r="F46" s="14" t="s">
        <v>487</v>
      </c>
      <c r="G46" s="15"/>
      <c r="H46" s="15"/>
      <c r="I46" s="18"/>
      <c r="J46" s="15"/>
    </row>
    <row r="47" customFormat="false" ht="55.5" hidden="false" customHeight="true" outlineLevel="0" collapsed="false">
      <c r="A47" s="16" t="s">
        <v>488</v>
      </c>
      <c r="B47" s="14" t="s">
        <v>489</v>
      </c>
      <c r="C47" s="17" t="s">
        <v>344</v>
      </c>
      <c r="D47" s="14" t="s">
        <v>480</v>
      </c>
      <c r="E47" s="14" t="s">
        <v>490</v>
      </c>
      <c r="F47" s="14" t="s">
        <v>491</v>
      </c>
      <c r="G47" s="15"/>
      <c r="H47" s="15"/>
      <c r="I47" s="18"/>
      <c r="J47" s="15"/>
    </row>
    <row r="48" customFormat="false" ht="55.5" hidden="false" customHeight="true" outlineLevel="0" collapsed="false">
      <c r="A48" s="16" t="s">
        <v>492</v>
      </c>
      <c r="B48" s="14" t="s">
        <v>493</v>
      </c>
      <c r="C48" s="17" t="s">
        <v>338</v>
      </c>
      <c r="D48" s="14" t="s">
        <v>494</v>
      </c>
      <c r="E48" s="14" t="s">
        <v>495</v>
      </c>
      <c r="F48" s="14" t="s">
        <v>496</v>
      </c>
      <c r="G48" s="15"/>
      <c r="H48" s="15"/>
      <c r="I48" s="18"/>
      <c r="J48" s="15"/>
    </row>
    <row r="49" customFormat="false" ht="55.5" hidden="false" customHeight="true" outlineLevel="0" collapsed="false">
      <c r="A49" s="16" t="s">
        <v>497</v>
      </c>
      <c r="B49" s="14" t="s">
        <v>498</v>
      </c>
      <c r="C49" s="17" t="s">
        <v>344</v>
      </c>
      <c r="D49" s="14" t="s">
        <v>499</v>
      </c>
      <c r="E49" s="14" t="s">
        <v>500</v>
      </c>
      <c r="F49" s="14" t="s">
        <v>501</v>
      </c>
      <c r="G49" s="15"/>
      <c r="H49" s="15"/>
      <c r="I49" s="18"/>
      <c r="J49" s="15"/>
    </row>
    <row r="50" customFormat="false" ht="15" hidden="false" customHeight="false" outlineLevel="0" collapsed="false">
      <c r="A50" s="13" t="s">
        <v>35</v>
      </c>
      <c r="B50" s="13"/>
      <c r="C50" s="13"/>
      <c r="D50" s="13"/>
      <c r="E50" s="13"/>
      <c r="F50" s="13"/>
      <c r="G50" s="13"/>
      <c r="H50" s="13"/>
      <c r="I50" s="13"/>
      <c r="J50" s="13"/>
    </row>
    <row r="51" customFormat="false" ht="55.5" hidden="false" customHeight="true" outlineLevel="0" collapsed="false">
      <c r="A51" s="16" t="s">
        <v>502</v>
      </c>
      <c r="B51" s="14" t="s">
        <v>503</v>
      </c>
      <c r="C51" s="17" t="s">
        <v>327</v>
      </c>
      <c r="D51" s="14" t="s">
        <v>504</v>
      </c>
      <c r="E51" s="14" t="s">
        <v>505</v>
      </c>
      <c r="F51" s="14" t="s">
        <v>506</v>
      </c>
      <c r="G51" s="15"/>
      <c r="H51" s="15"/>
      <c r="I51" s="18"/>
      <c r="J51" s="15"/>
    </row>
    <row r="52" customFormat="false" ht="55.5" hidden="false" customHeight="true" outlineLevel="0" collapsed="false">
      <c r="A52" s="16" t="s">
        <v>507</v>
      </c>
      <c r="B52" s="14" t="s">
        <v>508</v>
      </c>
      <c r="C52" s="17" t="s">
        <v>344</v>
      </c>
      <c r="D52" s="14" t="s">
        <v>509</v>
      </c>
      <c r="E52" s="14" t="s">
        <v>505</v>
      </c>
      <c r="F52" s="14" t="s">
        <v>510</v>
      </c>
      <c r="G52" s="15"/>
      <c r="H52" s="15"/>
      <c r="I52" s="18"/>
      <c r="J52" s="15"/>
    </row>
    <row r="53" customFormat="false" ht="55.5" hidden="false" customHeight="true" outlineLevel="0" collapsed="false">
      <c r="A53" s="16" t="s">
        <v>511</v>
      </c>
      <c r="B53" s="14" t="s">
        <v>512</v>
      </c>
      <c r="C53" s="17" t="s">
        <v>327</v>
      </c>
      <c r="D53" s="14" t="s">
        <v>513</v>
      </c>
      <c r="E53" s="14" t="s">
        <v>514</v>
      </c>
      <c r="F53" s="14" t="s">
        <v>515</v>
      </c>
      <c r="G53" s="15"/>
      <c r="H53" s="15"/>
      <c r="I53" s="18"/>
      <c r="J53" s="15"/>
    </row>
    <row r="54" customFormat="false" ht="55.5" hidden="false" customHeight="true" outlineLevel="0" collapsed="false">
      <c r="A54" s="16" t="s">
        <v>516</v>
      </c>
      <c r="B54" s="14" t="s">
        <v>517</v>
      </c>
      <c r="C54" s="17" t="s">
        <v>327</v>
      </c>
      <c r="D54" s="14" t="s">
        <v>518</v>
      </c>
      <c r="E54" s="14" t="s">
        <v>519</v>
      </c>
      <c r="F54" s="14" t="s">
        <v>520</v>
      </c>
      <c r="G54" s="15"/>
      <c r="H54" s="15"/>
      <c r="I54" s="18"/>
      <c r="J54" s="15"/>
    </row>
    <row r="55" customFormat="false" ht="55.5" hidden="false" customHeight="true" outlineLevel="0" collapsed="false">
      <c r="A55" s="16" t="s">
        <v>521</v>
      </c>
      <c r="B55" s="14" t="s">
        <v>522</v>
      </c>
      <c r="C55" s="17" t="s">
        <v>327</v>
      </c>
      <c r="D55" s="14" t="s">
        <v>523</v>
      </c>
      <c r="E55" s="14" t="s">
        <v>524</v>
      </c>
      <c r="F55" s="14" t="s">
        <v>525</v>
      </c>
      <c r="G55" s="15"/>
      <c r="H55" s="15"/>
      <c r="I55" s="18"/>
      <c r="J55" s="15"/>
    </row>
    <row r="56" customFormat="false" ht="55.5" hidden="false" customHeight="true" outlineLevel="0" collapsed="false">
      <c r="A56" s="16" t="s">
        <v>526</v>
      </c>
      <c r="B56" s="14" t="s">
        <v>527</v>
      </c>
      <c r="C56" s="17" t="s">
        <v>327</v>
      </c>
      <c r="D56" s="14" t="s">
        <v>528</v>
      </c>
      <c r="E56" s="14" t="s">
        <v>529</v>
      </c>
      <c r="F56" s="14" t="s">
        <v>530</v>
      </c>
      <c r="G56" s="15"/>
      <c r="H56" s="15"/>
      <c r="I56" s="18"/>
      <c r="J56" s="15"/>
    </row>
    <row r="57" customFormat="false" ht="55.5" hidden="false" customHeight="true" outlineLevel="0" collapsed="false">
      <c r="A57" s="16" t="s">
        <v>531</v>
      </c>
      <c r="B57" s="14" t="s">
        <v>532</v>
      </c>
      <c r="C57" s="17" t="s">
        <v>344</v>
      </c>
      <c r="D57" s="14" t="s">
        <v>533</v>
      </c>
      <c r="E57" s="14" t="s">
        <v>534</v>
      </c>
      <c r="F57" s="14" t="s">
        <v>535</v>
      </c>
      <c r="G57" s="15"/>
      <c r="H57" s="15"/>
      <c r="I57" s="18"/>
      <c r="J57" s="15"/>
    </row>
    <row r="58" customFormat="false" ht="55.5" hidden="false" customHeight="true" outlineLevel="0" collapsed="false">
      <c r="A58" s="16" t="s">
        <v>536</v>
      </c>
      <c r="B58" s="14" t="s">
        <v>537</v>
      </c>
      <c r="C58" s="17" t="s">
        <v>344</v>
      </c>
      <c r="D58" s="14" t="s">
        <v>538</v>
      </c>
      <c r="E58" s="14" t="s">
        <v>539</v>
      </c>
      <c r="F58" s="14" t="s">
        <v>540</v>
      </c>
      <c r="G58" s="15"/>
      <c r="H58" s="15"/>
      <c r="I58" s="18"/>
      <c r="J58" s="15"/>
    </row>
    <row r="59" customFormat="false" ht="15" hidden="false" customHeight="false" outlineLevel="0" collapsed="false">
      <c r="A59" s="13" t="s">
        <v>36</v>
      </c>
      <c r="B59" s="13"/>
      <c r="C59" s="13"/>
      <c r="D59" s="13"/>
      <c r="E59" s="13"/>
      <c r="F59" s="13"/>
      <c r="G59" s="13"/>
      <c r="H59" s="13"/>
      <c r="I59" s="13"/>
      <c r="J59" s="13"/>
    </row>
    <row r="60" customFormat="false" ht="55.5" hidden="false" customHeight="true" outlineLevel="0" collapsed="false">
      <c r="A60" s="16" t="s">
        <v>541</v>
      </c>
      <c r="B60" s="14" t="s">
        <v>542</v>
      </c>
      <c r="C60" s="17" t="s">
        <v>327</v>
      </c>
      <c r="D60" s="14" t="s">
        <v>345</v>
      </c>
      <c r="E60" s="14" t="s">
        <v>543</v>
      </c>
      <c r="F60" s="14" t="s">
        <v>544</v>
      </c>
      <c r="G60" s="15"/>
      <c r="H60" s="15"/>
      <c r="I60" s="18"/>
      <c r="J60" s="15"/>
    </row>
    <row r="61" customFormat="false" ht="55.5" hidden="false" customHeight="true" outlineLevel="0" collapsed="false">
      <c r="A61" s="16" t="s">
        <v>545</v>
      </c>
      <c r="B61" s="14" t="s">
        <v>546</v>
      </c>
      <c r="C61" s="17" t="s">
        <v>327</v>
      </c>
      <c r="D61" s="14" t="s">
        <v>345</v>
      </c>
      <c r="E61" s="14" t="s">
        <v>547</v>
      </c>
      <c r="F61" s="14" t="s">
        <v>548</v>
      </c>
      <c r="G61" s="15"/>
      <c r="H61" s="15"/>
      <c r="I61" s="18"/>
      <c r="J61" s="15"/>
    </row>
    <row r="62" customFormat="false" ht="55.5" hidden="false" customHeight="true" outlineLevel="0" collapsed="false">
      <c r="A62" s="16" t="s">
        <v>549</v>
      </c>
      <c r="B62" s="14" t="s">
        <v>550</v>
      </c>
      <c r="C62" s="17" t="s">
        <v>344</v>
      </c>
      <c r="D62" s="14" t="s">
        <v>551</v>
      </c>
      <c r="E62" s="14" t="s">
        <v>552</v>
      </c>
      <c r="F62" s="14" t="s">
        <v>553</v>
      </c>
      <c r="G62" s="15"/>
      <c r="H62" s="15"/>
      <c r="I62" s="18"/>
      <c r="J62" s="15"/>
    </row>
    <row r="63" customFormat="false" ht="55.5" hidden="false" customHeight="true" outlineLevel="0" collapsed="false">
      <c r="A63" s="16" t="s">
        <v>554</v>
      </c>
      <c r="B63" s="14" t="s">
        <v>555</v>
      </c>
      <c r="C63" s="17" t="s">
        <v>344</v>
      </c>
      <c r="D63" s="14" t="s">
        <v>556</v>
      </c>
      <c r="E63" s="14" t="s">
        <v>557</v>
      </c>
      <c r="F63" s="14" t="s">
        <v>558</v>
      </c>
      <c r="G63" s="15"/>
      <c r="H63" s="15"/>
      <c r="I63" s="18"/>
      <c r="J63" s="15"/>
    </row>
    <row r="64" customFormat="false" ht="55.5" hidden="false" customHeight="true" outlineLevel="0" collapsed="false">
      <c r="A64" s="16" t="s">
        <v>559</v>
      </c>
      <c r="B64" s="14" t="s">
        <v>560</v>
      </c>
      <c r="C64" s="17" t="s">
        <v>327</v>
      </c>
      <c r="D64" s="14" t="s">
        <v>561</v>
      </c>
      <c r="E64" s="14" t="s">
        <v>562</v>
      </c>
      <c r="F64" s="14" t="s">
        <v>563</v>
      </c>
      <c r="G64" s="15"/>
      <c r="H64" s="15"/>
      <c r="I64" s="18"/>
      <c r="J64" s="15"/>
    </row>
    <row r="65" customFormat="false" ht="55.5" hidden="false" customHeight="true" outlineLevel="0" collapsed="false">
      <c r="A65" s="16" t="s">
        <v>564</v>
      </c>
      <c r="B65" s="14" t="s">
        <v>565</v>
      </c>
      <c r="C65" s="17" t="s">
        <v>327</v>
      </c>
      <c r="D65" s="14" t="s">
        <v>566</v>
      </c>
      <c r="E65" s="14" t="s">
        <v>567</v>
      </c>
      <c r="F65" s="14" t="s">
        <v>568</v>
      </c>
      <c r="G65" s="15"/>
      <c r="H65" s="15"/>
      <c r="I65" s="18"/>
      <c r="J65" s="15"/>
    </row>
    <row r="66" customFormat="false" ht="15" hidden="false" customHeight="false" outlineLevel="0" collapsed="false">
      <c r="A66" s="13" t="s">
        <v>37</v>
      </c>
      <c r="B66" s="13"/>
      <c r="C66" s="13"/>
      <c r="D66" s="13"/>
      <c r="E66" s="13"/>
      <c r="F66" s="13"/>
      <c r="G66" s="13"/>
      <c r="H66" s="13"/>
      <c r="I66" s="13"/>
      <c r="J66" s="13"/>
    </row>
    <row r="67" customFormat="false" ht="55.5" hidden="false" customHeight="true" outlineLevel="0" collapsed="false">
      <c r="A67" s="16" t="s">
        <v>569</v>
      </c>
      <c r="B67" s="14" t="s">
        <v>570</v>
      </c>
      <c r="C67" s="17" t="s">
        <v>338</v>
      </c>
      <c r="D67" s="14" t="s">
        <v>571</v>
      </c>
      <c r="E67" s="14" t="s">
        <v>572</v>
      </c>
      <c r="F67" s="14" t="s">
        <v>573</v>
      </c>
      <c r="G67" s="15"/>
      <c r="H67" s="15"/>
      <c r="I67" s="18"/>
      <c r="J67" s="15"/>
    </row>
    <row r="68" customFormat="false" ht="55.5" hidden="false" customHeight="true" outlineLevel="0" collapsed="false">
      <c r="A68" s="16" t="s">
        <v>574</v>
      </c>
      <c r="B68" s="14" t="s">
        <v>575</v>
      </c>
      <c r="C68" s="17" t="s">
        <v>338</v>
      </c>
      <c r="D68" s="14" t="s">
        <v>576</v>
      </c>
      <c r="E68" s="14" t="s">
        <v>577</v>
      </c>
      <c r="F68" s="14" t="s">
        <v>578</v>
      </c>
      <c r="G68" s="15"/>
      <c r="H68" s="15"/>
      <c r="I68" s="18"/>
      <c r="J68" s="15"/>
    </row>
    <row r="69" customFormat="false" ht="55.5" hidden="false" customHeight="true" outlineLevel="0" collapsed="false">
      <c r="A69" s="16" t="s">
        <v>579</v>
      </c>
      <c r="B69" s="14" t="s">
        <v>580</v>
      </c>
      <c r="C69" s="17" t="s">
        <v>327</v>
      </c>
      <c r="D69" s="14" t="s">
        <v>581</v>
      </c>
      <c r="E69" s="14" t="s">
        <v>582</v>
      </c>
      <c r="F69" s="14" t="s">
        <v>583</v>
      </c>
      <c r="G69" s="15"/>
      <c r="H69" s="15"/>
      <c r="I69" s="18"/>
      <c r="J69" s="15"/>
    </row>
    <row r="70" customFormat="false" ht="55.5" hidden="false" customHeight="true" outlineLevel="0" collapsed="false">
      <c r="A70" s="16" t="s">
        <v>584</v>
      </c>
      <c r="B70" s="14" t="s">
        <v>585</v>
      </c>
      <c r="C70" s="17" t="s">
        <v>327</v>
      </c>
      <c r="D70" s="14" t="s">
        <v>586</v>
      </c>
      <c r="E70" s="14" t="s">
        <v>587</v>
      </c>
      <c r="F70" s="14" t="s">
        <v>588</v>
      </c>
      <c r="G70" s="15"/>
      <c r="H70" s="15"/>
      <c r="I70" s="18"/>
      <c r="J70" s="15"/>
    </row>
  </sheetData>
  <autoFilter ref="A5:J70"/>
  <mergeCells count="10">
    <mergeCell ref="A6:J6"/>
    <mergeCell ref="A12:J12"/>
    <mergeCell ref="A19:J19"/>
    <mergeCell ref="A25:J25"/>
    <mergeCell ref="A33:J33"/>
    <mergeCell ref="A38:J38"/>
    <mergeCell ref="A45:J45"/>
    <mergeCell ref="A50:J50"/>
    <mergeCell ref="A59:J59"/>
    <mergeCell ref="A66:J66"/>
  </mergeCells>
  <conditionalFormatting sqref="A6:J70">
    <cfRule type="expression" priority="2" aboveAverage="0" equalAverage="0" bottom="0" percent="0" rank="0" text="" dxfId="7">
      <formula>$G6="Fail"</formula>
    </cfRule>
    <cfRule type="expression" priority="3" aboveAverage="0" equalAverage="0" bottom="0" percent="0" rank="0" text="" dxfId="8">
      <formula>$G6="Pass"</formula>
    </cfRule>
    <cfRule type="expression" priority="4" aboveAverage="0" equalAverage="0" bottom="0" percent="0" rank="0" text="" dxfId="9">
      <formula>$G6="Blocked"</formula>
    </cfRule>
  </conditionalFormatting>
  <dataValidations count="1">
    <dataValidation allowBlank="true" errorStyle="stop" operator="between" showDropDown="false" showErrorMessage="false" showInputMessage="false" sqref="G6:G70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2026-08-19T08:20:20Z</dcterms:created>
  <dc:creator>openpyxl</dc:creator>
  <dc:description/>
  <dc:language>en-US</dc:language>
  <cp:lastModifiedBy/>
  <dcterms:modified xsi:type="dcterms:W3CDTF">2026-08-19T08:20:20Z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