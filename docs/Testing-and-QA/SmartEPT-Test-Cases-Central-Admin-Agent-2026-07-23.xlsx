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Central" sheetId="3" state="visible" r:id="rId5"/>
    <sheet name="Admin (Console &amp; Server)" sheetId="4" state="visible" r:id="rId6"/>
    <sheet name="Agent (Desktop)" sheetId="5" state="visible" r:id="rId7"/>
  </sheets>
  <definedNames>
    <definedName function="false" hidden="true" localSheetId="3" name="_xlnm._FilterDatabase" vbProcedure="false">'Admin (Console &amp; Server)'!$A$1:$M$65</definedName>
    <definedName function="false" hidden="true" localSheetId="4" name="_xlnm._FilterDatabase" vbProcedure="false">'Agent (Desktop)'!$A$1:$M$42</definedName>
    <definedName function="false" hidden="true" localSheetId="2" name="_xlnm._FilterDatabase" vbProcedure="false">Central!$A$1:$M$24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<sst xmlns="http://schemas.openxmlformats.org/spreadsheetml/2006/main" count="1414" uniqueCount="908">
  <si>
    <t xml:space="preserve">SmartEPT by Ametecs</t>
  </si>
  <si>
    <t xml:space="preserve">Master Test Cases — Central · Admin · Agent</t>
  </si>
  <si>
    <t xml:space="preserve">Document</t>
  </si>
  <si>
    <t xml:space="preserve">SmartEPT — Central / Admin / Agent Test Cases</t>
  </si>
  <si>
    <t xml:space="preserve">Date</t>
  </si>
  <si>
    <t xml:space="preserve">2026-07-23</t>
  </si>
  <si>
    <t xml:space="preserve">Revision</t>
  </si>
  <si>
    <t xml:space="preserve">QA-01</t>
  </si>
  <si>
    <t xml:space="preserve">Author</t>
  </si>
  <si>
    <t xml:space="preserve">SmartEPT Dev (Ametecs)</t>
  </si>
  <si>
    <t xml:space="preserve">Scope</t>
  </si>
  <si>
    <t xml:space="preserve">Central portal · Admin console + server · Desktop agent (Win/macOS/Linux)</t>
  </si>
  <si>
    <t xml:space="preserve">Total test cases</t>
  </si>
  <si>
    <t xml:space="preserve">128</t>
  </si>
  <si>
    <t xml:space="preserve">How to use</t>
  </si>
  <si>
    <t xml:space="preserve">Execute each case; put Pass/Fail in the Result column; add notes in Remarks. The Summary sheet totals live as you fill Result.</t>
  </si>
  <si>
    <t xml:space="preserve">Legend</t>
  </si>
  <si>
    <t xml:space="preserve">Priority: High/Medium/Low · Type: Functional/Negative/Security/UI/Integration · QA Ref = related QA-phase defect (A1–A8 / B1–B15).</t>
  </si>
  <si>
    <t xml:space="preserve">Execution Summary</t>
  </si>
  <si>
    <t xml:space="preserve">Module</t>
  </si>
  <si>
    <t xml:space="preserve">Total</t>
  </si>
  <si>
    <t xml:space="preserve">Passed</t>
  </si>
  <si>
    <t xml:space="preserve">Failed</t>
  </si>
  <si>
    <t xml:space="preserve">Blocked</t>
  </si>
  <si>
    <t xml:space="preserve">Not run</t>
  </si>
  <si>
    <t xml:space="preserve">Central</t>
  </si>
  <si>
    <t xml:space="preserve">Admin (Console &amp; Server)</t>
  </si>
  <si>
    <t xml:space="preserve">Agent (Desktop)</t>
  </si>
  <si>
    <t xml:space="preserve">TOTAL</t>
  </si>
  <si>
    <t xml:space="preserve">Test ID</t>
  </si>
  <si>
    <t xml:space="preserve">Feature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</si>
  <si>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</si>
  <si>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</si>
  <si>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</si>
  <si>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</si>
  <si>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</si>
  <si>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</si>
  <si>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Type</t>
  </si>
  <si>
    <t xml:space="preserve">QA Ref</t>
  </si>
  <si>
    <t xml:space="preserve">Result</t>
  </si>
  <si>
    <t xml:space="preserve">Remarks</t>
  </si>
  <si>
    <t xml:space="preserve">CEN-001</t>
  </si>
  <si>
    <t xml:space="preserve">Portal &amp; Auth</t>
  </si>
  <si>
    <t xml:space="preserve">Admin login</t>
  </si>
  <si>
    <t xml:space="preserve">Super-admin signs in to Central</t>
  </si>
  <si>
    <t xml:space="preserve">Central portal reachable; valid super-admin account</t>
  </si>
  <si>
    <t xml:space="preserve">1. Open the Central portal URL. 2. Enter valid email + password. 3. Submit.</t>
  </si>
  <si>
    <t xml:space="preserve">super-admin credentials</t>
  </si>
  <si>
    <t xml:space="preserve">Signed in; dashboard loads; role = super admin.</t>
  </si>
  <si>
    <t xml:space="preserve">High</t>
  </si>
  <si>
    <t xml:space="preserve">Functional</t>
  </si>
  <si>
    <t xml:space="preserve">CEN-002</t>
  </si>
  <si>
    <t xml:space="preserve">Invalid login</t>
  </si>
  <si>
    <t xml:space="preserve">Wrong password is rejected</t>
  </si>
  <si>
    <t xml:space="preserve">Central reachable</t>
  </si>
  <si>
    <t xml:space="preserve">1. Enter valid email + wrong password. 2. Submit.</t>
  </si>
  <si>
    <t xml:space="preserve">wrong password</t>
  </si>
  <si>
    <t xml:space="preserve">Login rejected with a clear message; no session created.</t>
  </si>
  <si>
    <t xml:space="preserve">Negative</t>
  </si>
  <si>
    <t xml:space="preserve">CEN-003</t>
  </si>
  <si>
    <t xml:space="preserve">Throttling</t>
  </si>
  <si>
    <t xml:space="preserve">Repeated failed logins are throttled</t>
  </si>
  <si>
    <t xml:space="preserve">1. Submit wrong credentials 10+ times quickly.</t>
  </si>
  <si>
    <t xml:space="preserve">-</t>
  </si>
  <si>
    <t xml:space="preserve">Further attempts are rate-limited (429/lockout); brute force blocked.</t>
  </si>
  <si>
    <t xml:space="preserve">Medium</t>
  </si>
  <si>
    <t xml:space="preserve">Security</t>
  </si>
  <si>
    <t xml:space="preserve">CEN-004</t>
  </si>
  <si>
    <t xml:space="preserve">Provisioning</t>
  </si>
  <si>
    <t xml:space="preserve">New tenant</t>
  </si>
  <si>
    <t xml:space="preserve">Provision a new client company</t>
  </si>
  <si>
    <t xml:space="preserve">Super admin signed in; provisioning secret configured</t>
  </si>
  <si>
    <t xml:space="preserve">1. Create a new client/company with plan + seats. 2. Submit.</t>
  </si>
  <si>
    <t xml:space="preserve">company name, plan, seat count</t>
  </si>
  <si>
    <t xml:space="preserve">Tenant created; provisioning record + signed payload returned; appears in the client list.</t>
  </si>
  <si>
    <t xml:space="preserve">CEN-005</t>
  </si>
  <si>
    <t xml:space="preserve">Secret signing</t>
  </si>
  <si>
    <t xml:space="preserve">Provision requires the shared secret</t>
  </si>
  <si>
    <t xml:space="preserve">Provisioning endpoint</t>
  </si>
  <si>
    <t xml:space="preserve">1. Call provision without/with a wrong secret signature.</t>
  </si>
  <si>
    <t xml:space="preserve">invalid signature</t>
  </si>
  <si>
    <t xml:space="preserve">Request refused; no tenant created (secret-signed provisioning enforced).</t>
  </si>
  <si>
    <t xml:space="preserve">CEN-006</t>
  </si>
  <si>
    <t xml:space="preserve">Seat count</t>
  </si>
  <si>
    <t xml:space="preserve">Seat count carries to the tenant</t>
  </si>
  <si>
    <t xml:space="preserve">Tenant provisioned with N seats</t>
  </si>
  <si>
    <t xml:space="preserve">1. Provision with N seats. 2. Open the tenant record.</t>
  </si>
  <si>
    <t xml:space="preserve">seats=25</t>
  </si>
  <si>
    <t xml:space="preserve">Tenant shows the licensed seat count; agent registration is bounded by it.</t>
  </si>
  <si>
    <t xml:space="preserve">CEN-007</t>
  </si>
  <si>
    <t xml:space="preserve">Licensing</t>
  </si>
  <si>
    <t xml:space="preserve">Issue licence</t>
  </si>
  <si>
    <t xml:space="preserve">Issue an offline node-locked .lic</t>
  </si>
  <si>
    <t xml:space="preserve">Tenant exists; RSA key pair configured (private key server-side only)</t>
  </si>
  <si>
    <t xml:space="preserve">1. Open the tenant. 2. Issue licence with plan + expiry + node lock. 3. Download the .lic.</t>
  </si>
  <si>
    <t xml:space="preserve">plan, expiry date, machine/node id</t>
  </si>
  <si>
    <t xml:space="preserve">A signed .lic is generated and downloadable; private key never exposed in output or logs.</t>
  </si>
  <si>
    <t xml:space="preserve">CEN-008</t>
  </si>
  <si>
    <t xml:space="preserve">Renew with date</t>
  </si>
  <si>
    <t xml:space="preserve">Renew a licence to a new expiry</t>
  </si>
  <si>
    <t xml:space="preserve">An issued licence exists</t>
  </si>
  <si>
    <t xml:space="preserve">1. Open the licence. 2. Pick a new expiry via the Renew date picker. 3. Confirm.</t>
  </si>
  <si>
    <t xml:space="preserve">new expiry date</t>
  </si>
  <si>
    <t xml:space="preserve">Licence renewed to the chosen date; new .lic reflects it; history kept (EPT-30).</t>
  </si>
  <si>
    <t xml:space="preserve">CEN-009</t>
  </si>
  <si>
    <t xml:space="preserve">Edit licence</t>
  </si>
  <si>
    <t xml:space="preserve">Edit licence attributes</t>
  </si>
  <si>
    <t xml:space="preserve">1. Open the licence. 2. Edit plan/seats/node. 3. Save.</t>
  </si>
  <si>
    <t xml:space="preserve">revised plan/seats</t>
  </si>
  <si>
    <t xml:space="preserve">Licence updated (PUT licences/{id}); re-issued .lic matches; audit recorded.</t>
  </si>
  <si>
    <t xml:space="preserve">CEN-010</t>
  </si>
  <si>
    <t xml:space="preserve">Signature validity</t>
  </si>
  <si>
    <t xml:space="preserve">Tampered .lic is rejected by the product</t>
  </si>
  <si>
    <t xml:space="preserve">A valid .lic issued</t>
  </si>
  <si>
    <t xml:space="preserve">1. Modify a byte of the .lic. 2. Load it in the product server.</t>
  </si>
  <si>
    <t xml:space="preserve">tampered .lic</t>
  </si>
  <si>
    <t xml:space="preserve">Product rejects the licence (signature invalid); no activation.</t>
  </si>
  <si>
    <t xml:space="preserve">CEN-011</t>
  </si>
  <si>
    <t xml:space="preserve">Node lock</t>
  </si>
  <si>
    <t xml:space="preserve">Licence bound to the registered node</t>
  </si>
  <si>
    <t xml:space="preserve">Node-locked .lic issued for machine A</t>
  </si>
  <si>
    <t xml:space="preserve">1. Install the .lic on a different machine B.</t>
  </si>
  <si>
    <t xml:space="preserve">wrong node</t>
  </si>
  <si>
    <t xml:space="preserve">Licence refuses to validate on B; only the locked node activates.</t>
  </si>
  <si>
    <t xml:space="preserve">CEN-012</t>
  </si>
  <si>
    <t xml:space="preserve">Eval period</t>
  </si>
  <si>
    <t xml:space="preserve">7-day evaluation works then expires</t>
  </si>
  <si>
    <t xml:space="preserve">Fresh install without a paid licence</t>
  </si>
  <si>
    <t xml:space="preserve">1. Start the product in eval. 2. Advance the clock past 7 days.</t>
  </si>
  <si>
    <t xml:space="preserve">eval window</t>
  </si>
  <si>
    <t xml:space="preserve">Eval runs for 7 days then blocks per the hard wall; prompts for a licence.</t>
  </si>
  <si>
    <t xml:space="preserve">CEN-013</t>
  </si>
  <si>
    <t xml:space="preserve">Downloads</t>
  </si>
  <si>
    <t xml:space="preserve">Catalogue list</t>
  </si>
  <si>
    <t xml:space="preserve">Downloads catalogue lists installers</t>
  </si>
  <si>
    <t xml:space="preserve">Super admin; catalogue seeded</t>
  </si>
  <si>
    <t xml:space="preserve">1. Open Central → Downloads.</t>
  </si>
  <si>
    <t xml:space="preserve">Server + agent installers (Win/Linux/Mac) listed with version + notes (DB-backed).</t>
  </si>
  <si>
    <t xml:space="preserve">CEN-014</t>
  </si>
  <si>
    <t xml:space="preserve">Manage catalogue</t>
  </si>
  <si>
    <t xml:space="preserve">Super admin adds/edits a download entry</t>
  </si>
  <si>
    <t xml:space="preserve">Super admin</t>
  </si>
  <si>
    <t xml:space="preserve">1. Add a new download (name, version, file, notes). 2. Save. 3. Verify it appears.</t>
  </si>
  <si>
    <t xml:space="preserve">installer metadata</t>
  </si>
  <si>
    <t xml:space="preserve">Entry saved and shown; client portal reflects it; legacy build-drop fallback still works.</t>
  </si>
  <si>
    <t xml:space="preserve">CEN-015</t>
  </si>
  <si>
    <t xml:space="preserve">Client access</t>
  </si>
  <si>
    <t xml:space="preserve">Client sees deployment-aware downloads</t>
  </si>
  <si>
    <t xml:space="preserve">Client tenant with a deployment model set</t>
  </si>
  <si>
    <t xml:space="preserve">1. Sign in as the client. 2. Open Install &amp; Downloads.</t>
  </si>
  <si>
    <t xml:space="preserve">Client sees the installers relevant to their deployment (LAN / cloud); no other tenant's files.</t>
  </si>
  <si>
    <t xml:space="preserve">CEN-016</t>
  </si>
  <si>
    <t xml:space="preserve">Pricing</t>
  </si>
  <si>
    <t xml:space="preserve">Price calculator</t>
  </si>
  <si>
    <t xml:space="preserve">Pricing calc computes plan totals</t>
  </si>
  <si>
    <t xml:space="preserve">Pricing configured</t>
  </si>
  <si>
    <t xml:space="preserve">1. Open the pricing calculator. 2. Select plan + cycle + seats + storage.</t>
  </si>
  <si>
    <t xml:space="preserve">plan, Quarterly/Half-yearly/Annual, seats</t>
  </si>
  <si>
    <t xml:space="preserve">Correct total incl. setup and cycle discounts; matches the plan config.</t>
  </si>
  <si>
    <t xml:space="preserve">CEN-017</t>
  </si>
  <si>
    <t xml:space="preserve">Setup invoice</t>
  </si>
  <si>
    <t xml:space="preserve">Generate a setup invoice</t>
  </si>
  <si>
    <t xml:space="preserve">Client + plan selected</t>
  </si>
  <si>
    <t xml:space="preserve">1. Generate the setup invoice for a client.</t>
  </si>
  <si>
    <t xml:space="preserve">client, plan</t>
  </si>
  <si>
    <t xml:space="preserve">Branded invoice with GST + amounts; public pay link where configured.</t>
  </si>
  <si>
    <t xml:space="preserve">CEN-018</t>
  </si>
  <si>
    <t xml:space="preserve">SSO</t>
  </si>
  <si>
    <t xml:space="preserve">Ticket sign-in</t>
  </si>
  <si>
    <t xml:space="preserve">Signed SSO ticket signs the tenant admin in</t>
  </si>
  <si>
    <t xml:space="preserve">Client tenant provisioned; SSO enabled</t>
  </si>
  <si>
    <t xml:space="preserve">1. From Central, open the client app via the SSO link (?sso=ticket).</t>
  </si>
  <si>
    <t xml:space="preserve">signed ticket</t>
  </si>
  <si>
    <t xml:space="preserve">Tenant admin lands signed-in on their SmartEPT console; ticket stripped from the URL.</t>
  </si>
  <si>
    <t xml:space="preserve">Integration</t>
  </si>
  <si>
    <t xml:space="preserve">CEN-019</t>
  </si>
  <si>
    <t xml:space="preserve">Expired ticket</t>
  </si>
  <si>
    <t xml:space="preserve">Expired/invalid SSO ticket is refused</t>
  </si>
  <si>
    <t xml:space="preserve">SSO enabled</t>
  </si>
  <si>
    <t xml:space="preserve">1. Use an expired or tampered ticket.</t>
  </si>
  <si>
    <t xml:space="preserve">invalid ticket</t>
  </si>
  <si>
    <t xml:space="preserve">Sign-in refused with a clear message; falls back to the normal login.</t>
  </si>
  <si>
    <t xml:space="preserve">CEN-020</t>
  </si>
  <si>
    <t xml:space="preserve">Multi-tenant</t>
  </si>
  <si>
    <t xml:space="preserve">Isolation</t>
  </si>
  <si>
    <t xml:space="preserve">One tenant cannot see another's data</t>
  </si>
  <si>
    <t xml:space="preserve">Two tenants A and B</t>
  </si>
  <si>
    <t xml:space="preserve">1. As tenant A, attempt to open tenant B's licence/download/company by id or URL.</t>
  </si>
  <si>
    <t xml:space="preserve">cross-tenant id</t>
  </si>
  <si>
    <t xml:space="preserve">Access denied / not found; strict tenant isolation server-side.</t>
  </si>
  <si>
    <t xml:space="preserve">CEN-021</t>
  </si>
  <si>
    <t xml:space="preserve">Client login</t>
  </si>
  <si>
    <t xml:space="preserve">Every client login is recorded</t>
  </si>
  <si>
    <t xml:space="preserve">Client account</t>
  </si>
  <si>
    <t xml:space="preserve">1. Client signs in. 2. Check the login record.</t>
  </si>
  <si>
    <t xml:space="preserve">Login captured (who/when); visible to super admin.</t>
  </si>
  <si>
    <t xml:space="preserve">Low</t>
  </si>
  <si>
    <t xml:space="preserve">CEN-022</t>
  </si>
  <si>
    <t xml:space="preserve">No private key leak</t>
  </si>
  <si>
    <t xml:space="preserve">Private signing key never leaves the server</t>
  </si>
  <si>
    <t xml:space="preserve">Licensing configured</t>
  </si>
  <si>
    <t xml:space="preserve">1. Inspect API responses, downloads and logs during issue/renew.</t>
  </si>
  <si>
    <t xml:space="preserve">Only the public verify key / signed .lic is ever emitted; the RSA private key is never present.</t>
  </si>
  <si>
    <t xml:space="preserve">CEN-023</t>
  </si>
  <si>
    <t xml:space="preserve">Transport</t>
  </si>
  <si>
    <t xml:space="preserve">Portal enforces HTTPS</t>
  </si>
  <si>
    <t xml:space="preserve">Production Central</t>
  </si>
  <si>
    <t xml:space="preserve">1. Attempt plain HTTP access.</t>
  </si>
  <si>
    <t xml:space="preserve">Redirected/forced to HTTPS; no credentials over plain HTTP.</t>
  </si>
  <si>
    <t xml:space="preserve">ADM-001</t>
  </si>
  <si>
    <t xml:space="preserve">Auth &amp; RBAC</t>
  </si>
  <si>
    <t xml:space="preserve">Login</t>
  </si>
  <si>
    <t xml:space="preserve">Admin signs in to the console</t>
  </si>
  <si>
    <t xml:space="preserve">Console reachable; seeded admin</t>
  </si>
  <si>
    <t xml:space="preserve">1. Open the console. 2. Enter email + password. 3. Submit.</t>
  </si>
  <si>
    <t xml:space="preserve">admin@…</t>
  </si>
  <si>
    <t xml:space="preserve">Signed in; session restored on refresh; role name shown.</t>
  </si>
  <si>
    <t xml:space="preserve">ADM-002</t>
  </si>
  <si>
    <t xml:space="preserve">Forced password</t>
  </si>
  <si>
    <t xml:space="preserve">Temp-password user must change password</t>
  </si>
  <si>
    <t xml:space="preserve">User created with a one-time temp password</t>
  </si>
  <si>
    <t xml:space="preserve">1. Log in with the temp password.</t>
  </si>
  <si>
    <t xml:space="preserve">temp password</t>
  </si>
  <si>
    <t xml:space="preserve">Forced-password modal blocks the app until a new password is set.</t>
  </si>
  <si>
    <t xml:space="preserve">ADM-003</t>
  </si>
  <si>
    <t xml:space="preserve">Permission nav</t>
  </si>
  <si>
    <t xml:space="preserve">Nav hides modules the role lacks</t>
  </si>
  <si>
    <t xml:space="preserve">Non-admin role missing some permissions</t>
  </si>
  <si>
    <t xml:space="preserve">1. Sign in as that role. 2. Inspect the sidebar.</t>
  </si>
  <si>
    <t xml:space="preserve">manager/auditor</t>
  </si>
  <si>
    <t xml:space="preserve">Only permitted modules show (dashboard/screenshots/… per permission).</t>
  </si>
  <si>
    <t xml:space="preserve">B5</t>
  </si>
  <si>
    <t xml:space="preserve">ADM-004</t>
  </si>
  <si>
    <t xml:space="preserve">API guard</t>
  </si>
  <si>
    <t xml:space="preserve">Direct API call without permission is 403</t>
  </si>
  <si>
    <t xml:space="preserve">Role without screenshot.view</t>
  </si>
  <si>
    <t xml:space="preserve">1. Call GET /reports/screenshots with that token.</t>
  </si>
  <si>
    <t xml:space="preserve">403 FORBIDDEN — server enforces the permission regardless of UI.</t>
  </si>
  <si>
    <t xml:space="preserve">ADM-005</t>
  </si>
  <si>
    <t xml:space="preserve">Roles matrix</t>
  </si>
  <si>
    <t xml:space="preserve">New granular permissions appear in the matrix</t>
  </si>
  <si>
    <t xml:space="preserve">Company admin; Roles screen</t>
  </si>
  <si>
    <t xml:space="preserve">1. Open Roles → Permissions for a role.</t>
  </si>
  <si>
    <t xml:space="preserve">All permissions incl. meeting.*, audit.export, evidence.view, gate.override are listed and tickable.</t>
  </si>
  <si>
    <t xml:space="preserve">ADM-006</t>
  </si>
  <si>
    <t xml:space="preserve">Lockout guard</t>
  </si>
  <si>
    <t xml:space="preserve">Super/Company admin keep full access</t>
  </si>
  <si>
    <t xml:space="preserve">Company admin</t>
  </si>
  <si>
    <t xml:space="preserve">1. Try to remove permissions from the Company Admin role.</t>
  </si>
  <si>
    <t xml:space="preserve">Locked — those roles always keep full access (no self-lockout).</t>
  </si>
  <si>
    <t xml:space="preserve">ADM-007</t>
  </si>
  <si>
    <t xml:space="preserve">Users</t>
  </si>
  <si>
    <t xml:space="preserve">Create user</t>
  </si>
  <si>
    <t xml:space="preserve">Create a login with a temp password</t>
  </si>
  <si>
    <t xml:space="preserve">Company/HR admin</t>
  </si>
  <si>
    <t xml:space="preserve">1. Users → Add. 2. Fill name/email/role. 3. Save.</t>
  </si>
  <si>
    <t xml:space="preserve">new user</t>
  </si>
  <si>
    <t xml:space="preserve">User created; one-time credentials shown once; user appears in the list.</t>
  </si>
  <si>
    <t xml:space="preserve">ADM-008</t>
  </si>
  <si>
    <t xml:space="preserve">Reset password</t>
  </si>
  <si>
    <t xml:space="preserve">Reset a user's password</t>
  </si>
  <si>
    <t xml:space="preserve">Existing user</t>
  </si>
  <si>
    <t xml:space="preserve">1. Open the user → Reset password.</t>
  </si>
  <si>
    <t xml:space="preserve">New temp password issued; must_change_password set.</t>
  </si>
  <si>
    <t xml:space="preserve">ADM-009</t>
  </si>
  <si>
    <t xml:space="preserve">Disable user</t>
  </si>
  <si>
    <t xml:space="preserve">Soft-disable a login</t>
  </si>
  <si>
    <t xml:space="preserve">Existing active user</t>
  </si>
  <si>
    <t xml:space="preserve">1. Set the user status to DISABLED.</t>
  </si>
  <si>
    <t xml:space="preserve">User can no longer sign in; record retained.</t>
  </si>
  <si>
    <t xml:space="preserve">ADM-010</t>
  </si>
  <si>
    <t xml:space="preserve">Employees</t>
  </si>
  <si>
    <t xml:space="preserve">Create employee</t>
  </si>
  <si>
    <t xml:space="preserve">Add an employee with a shift</t>
  </si>
  <si>
    <t xml:space="preserve">Org + shift exist</t>
  </si>
  <si>
    <t xml:space="preserve">1. Employees → Add. 2. Fill code/name/shift/branch. 3. Save.</t>
  </si>
  <si>
    <t xml:space="preserve">E-XXXX</t>
  </si>
  <si>
    <t xml:space="preserve">Employee created and listed; linked login optional.</t>
  </si>
  <si>
    <t xml:space="preserve">ADM-011</t>
  </si>
  <si>
    <t xml:space="preserve">Bulk import</t>
  </si>
  <si>
    <t xml:space="preserve">Bulk onboard employees from CSV</t>
  </si>
  <si>
    <t xml:space="preserve">CSV template</t>
  </si>
  <si>
    <t xml:space="preserve">1. Employees → Bulk import. 2. Upload the CSV.</t>
  </si>
  <si>
    <t xml:space="preserve">valid CSV</t>
  </si>
  <si>
    <t xml:space="preserve">Rows imported; errors reported per row; valid rows created.</t>
  </si>
  <si>
    <t xml:space="preserve">ADM-012</t>
  </si>
  <si>
    <t xml:space="preserve">Tracking mode</t>
  </si>
  <si>
    <t xml:space="preserve">Set an employee to Presence-only / Excluded</t>
  </si>
  <si>
    <t xml:space="preserve">Employee exists</t>
  </si>
  <si>
    <t xml:space="preserve">1. Edit the employee → Tracking mode = Presence only.</t>
  </si>
  <si>
    <t xml:space="preserve">Agent for that person captures no screenshots/activity (mode honoured in the bundle).</t>
  </si>
  <si>
    <t xml:space="preserve">ADM-013</t>
  </si>
  <si>
    <t xml:space="preserve">Relieve</t>
  </si>
  <si>
    <t xml:space="preserve">Offboard an employee</t>
  </si>
  <si>
    <t xml:space="preserve">Active employee with devices</t>
  </si>
  <si>
    <t xml:space="preserve">1. Employees → Relieve with a reason.</t>
  </si>
  <si>
    <t xml:space="preserve">reason</t>
  </si>
  <si>
    <t xml:space="preserve">Login disabled, agent stopped, seats freed; audit-logged.</t>
  </si>
  <si>
    <t xml:space="preserve">ADM-014</t>
  </si>
  <si>
    <t xml:space="preserve">Organisation</t>
  </si>
  <si>
    <t xml:space="preserve">CRUD</t>
  </si>
  <si>
    <t xml:space="preserve">Manage branches/departments/teams/designations/shifts</t>
  </si>
  <si>
    <t xml:space="preserve">1. Org → add/edit/delete each type.</t>
  </si>
  <si>
    <t xml:space="preserve">Entities saved, tenant-scoped, and selectable on the employee form.</t>
  </si>
  <si>
    <t xml:space="preserve">ADM-015</t>
  </si>
  <si>
    <t xml:space="preserve">Shift working days</t>
  </si>
  <si>
    <t xml:space="preserve">Shift working days drive attendance</t>
  </si>
  <si>
    <t xml:space="preserve">Shift with MON–FRI</t>
  </si>
  <si>
    <t xml:space="preserve">1. Set working_days. 2. Observe attendance marking on a Saturday.</t>
  </si>
  <si>
    <t xml:space="preserve">MON-FRI</t>
  </si>
  <si>
    <t xml:space="preserve">Weekly-off days produce no ABSENT/late; only working days count.</t>
  </si>
  <si>
    <t xml:space="preserve">ADM-016</t>
  </si>
  <si>
    <t xml:space="preserve">Holidays</t>
  </si>
  <si>
    <t xml:space="preserve">Holiday calendar</t>
  </si>
  <si>
    <t xml:space="preserve">Add a holiday and verify no ABSENT</t>
  </si>
  <si>
    <t xml:space="preserve">HR admin</t>
  </si>
  <si>
    <t xml:space="preserve">1. Add a company holiday. 2. Run the nightly attendance for that date.</t>
  </si>
  <si>
    <t xml:space="preserve">holiday date</t>
  </si>
  <si>
    <t xml:space="preserve">No ABSENT/late is recorded on the holiday.</t>
  </si>
  <si>
    <t xml:space="preserve">ADM-017</t>
  </si>
  <si>
    <t xml:space="preserve">Policies</t>
  </si>
  <si>
    <t xml:space="preserve">Assign policy</t>
  </si>
  <si>
    <t xml:space="preserve">Assign a monitoring/screenshot policy</t>
  </si>
  <si>
    <t xml:space="preserve">Policies exist</t>
  </si>
  <si>
    <t xml:space="preserve">1. Assign a policy at company/team/employee level.</t>
  </si>
  <si>
    <t xml:space="preserve">Most-specific assignment wins in the resolved agent bundle.</t>
  </si>
  <si>
    <t xml:space="preserve">ADM-018</t>
  </si>
  <si>
    <t xml:space="preserve">Screenshot interval</t>
  </si>
  <si>
    <t xml:space="preserve">10-minute policy resolves to 600s</t>
  </si>
  <si>
    <t xml:space="preserve">Screenshot policy interval = 10 min</t>
  </si>
  <si>
    <t xml:space="preserve">1. Fetch the agent bundle for a covered employee.</t>
  </si>
  <si>
    <t xml:space="preserve">policies.screenshot.effective_interval_seconds = 600 and a policy_version is present.</t>
  </si>
  <si>
    <t xml:space="preserve">B11</t>
  </si>
  <si>
    <t xml:space="preserve">ADM-019</t>
  </si>
  <si>
    <t xml:space="preserve">App/Web rules</t>
  </si>
  <si>
    <t xml:space="preserve">Blocked app/site flagged as a violation</t>
  </si>
  <si>
    <t xml:space="preserve">Application/Website policy with blocked items</t>
  </si>
  <si>
    <t xml:space="preserve">1. Add a blocked app. 2. Agent opens it.</t>
  </si>
  <si>
    <t xml:space="preserve">steam.exe</t>
  </si>
  <si>
    <t xml:space="preserve">A compliance event is raised; action per policy (warn/screenshot).</t>
  </si>
  <si>
    <t xml:space="preserve">ADM-020</t>
  </si>
  <si>
    <t xml:space="preserve">Attendance</t>
  </si>
  <si>
    <t xml:space="preserve">Sheet view</t>
  </si>
  <si>
    <t xml:space="preserve">Attendance sheet lists derived values</t>
  </si>
  <si>
    <t xml:space="preserve">Attendance data present</t>
  </si>
  <si>
    <t xml:space="preserve">1. Open Attendance for a date.</t>
  </si>
  <si>
    <t xml:space="preserve">Rows show check-in/out, late, status + how each was derived (source columns).</t>
  </si>
  <si>
    <t xml:space="preserve">B7 B8</t>
  </si>
  <si>
    <t xml:space="preserve">ADM-021</t>
  </si>
  <si>
    <t xml:space="preserve">Regularize</t>
  </si>
  <si>
    <t xml:space="preserve">Correct a day with a reason</t>
  </si>
  <si>
    <t xml:space="preserve">HR admin; an existing row</t>
  </si>
  <si>
    <t xml:space="preserve">1. Edit a day (status/in/out) with a reason. 2. Save.</t>
  </si>
  <si>
    <t xml:space="preserve">Row updated to MANUAL, reason kept on notes, audit-logged; feeds payroll.</t>
  </si>
  <si>
    <t xml:space="preserve">ADM-022</t>
  </si>
  <si>
    <t xml:space="preserve">Future checkout</t>
  </si>
  <si>
    <t xml:space="preserve">Reject a future manual check-out</t>
  </si>
  <si>
    <t xml:space="preserve">HR admin; server time = now</t>
  </si>
  <si>
    <t xml:space="preserve">1. Set check-out later than now. 2. Save.</t>
  </si>
  <si>
    <t xml:space="preserve">checkout &gt; now</t>
  </si>
  <si>
    <t xml:space="preserve">Rejected: 'Check-out time cannot be later than the current time.'</t>
  </si>
  <si>
    <t xml:space="preserve">B9</t>
  </si>
  <si>
    <t xml:space="preserve">ADM-023</t>
  </si>
  <si>
    <t xml:space="preserve">Overnight</t>
  </si>
  <si>
    <t xml:space="preserve">Accept a valid overnight checkout</t>
  </si>
  <si>
    <t xml:space="preserve">1. Add in=22:00 (prev day), out=06:00 (today). 2. Save.</t>
  </si>
  <si>
    <t xml:space="preserve">overnight</t>
  </si>
  <si>
    <t xml:space="preserve">Accepted (out after in, not future); overnight handled.</t>
  </si>
  <si>
    <t xml:space="preserve">ADM-024</t>
  </si>
  <si>
    <t xml:space="preserve">Checkout &gt; checkin</t>
  </si>
  <si>
    <t xml:space="preserve">Reject checkout before checkin</t>
  </si>
  <si>
    <t xml:space="preserve">1. Set check-out earlier than check-in.</t>
  </si>
  <si>
    <t xml:space="preserve">Rejected with a validation message.</t>
  </si>
  <si>
    <t xml:space="preserve">ADM-025</t>
  </si>
  <si>
    <t xml:space="preserve">Biometric &amp; Gate</t>
  </si>
  <si>
    <t xml:space="preserve">Device setup</t>
  </si>
  <si>
    <t xml:space="preserve">Add a cloud biometric device</t>
  </si>
  <si>
    <t xml:space="preserve">1. Biometric → add device (provider, API, IN/OUT machine ids). 2. Test connection.</t>
  </si>
  <si>
    <t xml:space="preserve">eTimeOffice creds</t>
  </si>
  <si>
    <t xml:space="preserve">Connection probe reports parsed punches; device saved.</t>
  </si>
  <si>
    <t xml:space="preserve">B6</t>
  </si>
  <si>
    <t xml:space="preserve">ADM-026</t>
  </si>
  <si>
    <t xml:space="preserve">Auto-sync</t>
  </si>
  <si>
    <t xml:space="preserve">Punches sync automatically every 5 min</t>
  </si>
  <si>
    <t xml:space="preserve">Active device; scheduler running</t>
  </si>
  <si>
    <t xml:space="preserve">1. Wait for the 5-minute cycle (or Sync now).</t>
  </si>
  <si>
    <t xml:space="preserve">Punches import without a manual click; last-sync counts shown.</t>
  </si>
  <si>
    <t xml:space="preserve">ADM-027</t>
  </si>
  <si>
    <t xml:space="preserve">Sync failure cap</t>
  </si>
  <si>
    <t xml:space="preserve">Broken feed auto-disables after repeated failures</t>
  </si>
  <si>
    <t xml:space="preserve">Device with wrong credentials</t>
  </si>
  <si>
    <t xml:space="preserve">1. Let it fail repeatedly (5×).</t>
  </si>
  <si>
    <t xml:space="preserve">bad creds</t>
  </si>
  <si>
    <t xml:space="preserve">Device flips to ERROR and stops auto-syncing; Troubleshooting tile flags it.</t>
  </si>
  <si>
    <t xml:space="preserve">ADM-028</t>
  </si>
  <si>
    <t xml:space="preserve">Map employee</t>
  </si>
  <si>
    <t xml:space="preserve">Map a biometric id to an employee</t>
  </si>
  <si>
    <t xml:space="preserve">Unmapped punches exist</t>
  </si>
  <si>
    <t xml:space="preserve">1. Biometric → map id → employee.</t>
  </si>
  <si>
    <t xml:space="preserve">BIO-xxx</t>
  </si>
  <si>
    <t xml:space="preserve">One employee → one active biometric id; historical punches backfilled.</t>
  </si>
  <si>
    <t xml:space="preserve">ADM-029</t>
  </si>
  <si>
    <t xml:space="preserve">Shift-aware checkout</t>
  </si>
  <si>
    <t xml:space="preserve">Lunch OUT is not an early checkout</t>
  </si>
  <si>
    <t xml:space="preserve">Mapped employee; day IN, OUT(lunch), IN, OUT(end)</t>
  </si>
  <si>
    <t xml:space="preserve">1. Import the four punches.</t>
  </si>
  <si>
    <t xml:space="preserve">09:00 IN,13:00 OUT,14:00 IN,18:00 OUT</t>
  </si>
  <si>
    <t xml:space="preserve">Check-in=09:00, Check-out=18:00 (the lunch OUT is not the checkout).</t>
  </si>
  <si>
    <t xml:space="preserve">B7</t>
  </si>
  <si>
    <t xml:space="preserve">ADM-030</t>
  </si>
  <si>
    <t xml:space="preserve">Delayed recompute</t>
  </si>
  <si>
    <t xml:space="preserve">A late end punch recomputes checkout</t>
  </si>
  <si>
    <t xml:space="preserve">Employee currently 'still inside'</t>
  </si>
  <si>
    <t xml:space="preserve">1. After IN/OUT/IN, later import the end OUT.</t>
  </si>
  <si>
    <t xml:space="preserve">18:00 OUT arrives late</t>
  </si>
  <si>
    <t xml:space="preserve">Checkout recomputes to the trailing OUT (idempotent).</t>
  </si>
  <si>
    <t xml:space="preserve">ADM-031</t>
  </si>
  <si>
    <t xml:space="preserve">Configurable late</t>
  </si>
  <si>
    <t xml:space="preserve">Late per the configured arrival source</t>
  </si>
  <si>
    <t xml:space="preserve">Company late_arrival_source set; shift start+grace</t>
  </si>
  <si>
    <t xml:space="preserve">1. Import a first IN after the permitted time.</t>
  </si>
  <si>
    <t xml:space="preserve">09:30 IN, permitted 09:10</t>
  </si>
  <si>
    <t xml:space="preserve">Late minutes = 20; arrival source recorded; biometric-only employee also gets late.</t>
  </si>
  <si>
    <t xml:space="preserve">B8</t>
  </si>
  <si>
    <t xml:space="preserve">ADM-032</t>
  </si>
  <si>
    <t xml:space="preserve">Gate override</t>
  </si>
  <si>
    <t xml:space="preserve">Admin emergency gate override is audited</t>
  </si>
  <si>
    <t xml:space="preserve">Gate closed for an employee</t>
  </si>
  <si>
    <t xml:space="preserve">1. Admin posts a gate override with a reason.</t>
  </si>
  <si>
    <t xml:space="preserve">Gate lifts; GATE_OVERRIDE + audit recorded; employee-role cannot override (403).</t>
  </si>
  <si>
    <t xml:space="preserve">A3</t>
  </si>
  <si>
    <t xml:space="preserve">ADM-033</t>
  </si>
  <si>
    <t xml:space="preserve">Breaks</t>
  </si>
  <si>
    <t xml:space="preserve">Break report</t>
  </si>
  <si>
    <t xml:space="preserve">Permitted vs actual with excess + reason</t>
  </si>
  <si>
    <t xml:space="preserve">Break data present</t>
  </si>
  <si>
    <t xml:space="preserve">1. Open the break report.</t>
  </si>
  <si>
    <t xml:space="preserve">Per-type permitted/actual/excess with the employee's reason; meeting is never a break.</t>
  </si>
  <si>
    <t xml:space="preserve">ADM-034</t>
  </si>
  <si>
    <t xml:space="preserve">Conflict 409</t>
  </si>
  <si>
    <t xml:space="preserve">Break while on a different break is rejected</t>
  </si>
  <si>
    <t xml:space="preserve">Employee on Tea break</t>
  </si>
  <si>
    <t xml:space="preserve">1. Start a Lunch break via the API without ending Tea.</t>
  </si>
  <si>
    <t xml:space="preserve">409 STATUS_CONFLICT; single open status enforced.</t>
  </si>
  <si>
    <t xml:space="preserve">A6 D1</t>
  </si>
  <si>
    <t xml:space="preserve">ADM-035</t>
  </si>
  <si>
    <t xml:space="preserve">Meetings</t>
  </si>
  <si>
    <t xml:space="preserve">Schedule permission</t>
  </si>
  <si>
    <t xml:space="preserve">Only a permitted role can schedule</t>
  </si>
  <si>
    <t xml:space="preserve">Manager has meeting.schedule; auditor does not</t>
  </si>
  <si>
    <t xml:space="preserve">1. As manager POST /meetings. 2. As auditor POST /meetings.</t>
  </si>
  <si>
    <t xml:space="preserve">valid meeting</t>
  </si>
  <si>
    <t xml:space="preserve">Manager → 201; auditor → 403.</t>
  </si>
  <si>
    <t xml:space="preserve">ADM-036</t>
  </si>
  <si>
    <t xml:space="preserve">Cross-tenant</t>
  </si>
  <si>
    <t xml:space="preserve">Cannot open another tenant's meeting</t>
  </si>
  <si>
    <t xml:space="preserve">Meeting belongs to company B</t>
  </si>
  <si>
    <t xml:space="preserve">1. As company A, GET that meeting by id.</t>
  </si>
  <si>
    <t xml:space="preserve">404 (tenant scope) — no cross-tenant access.</t>
  </si>
  <si>
    <t xml:space="preserve">ADM-037</t>
  </si>
  <si>
    <t xml:space="preserve">Modal on-theme</t>
  </si>
  <si>
    <t xml:space="preserve">Meeting modal is centred and not clipped</t>
  </si>
  <si>
    <t xml:space="preserve">Console; meeting screen</t>
  </si>
  <si>
    <t xml:space="preserve">1. Open Schedule meeting at 100/125/150% zoom.</t>
  </si>
  <si>
    <t xml:space="preserve">Modal centred, header/footer fixed, participant list scrolls inside, on-theme.</t>
  </si>
  <si>
    <t xml:space="preserve">UI</t>
  </si>
  <si>
    <t xml:space="preserve">B4</t>
  </si>
  <si>
    <t xml:space="preserve">ADM-038</t>
  </si>
  <si>
    <t xml:space="preserve">Participation</t>
  </si>
  <si>
    <t xml:space="preserve">Scheduled vs actual attendance</t>
  </si>
  <si>
    <t xml:space="preserve">Meeting with sessions</t>
  </si>
  <si>
    <t xml:space="preserve">1. Open the meeting's participation.</t>
  </si>
  <si>
    <t xml:space="preserve">Per-participant scheduled/actual + ATTENDED/ABSENT/PENDING.</t>
  </si>
  <si>
    <t xml:space="preserve">ADM-039</t>
  </si>
  <si>
    <t xml:space="preserve">Screenshots &amp; Evidence</t>
  </si>
  <si>
    <t xml:space="preserve">Timeline</t>
  </si>
  <si>
    <t xml:space="preserve">View an employee's screenshot timeline</t>
  </si>
  <si>
    <t xml:space="preserve">screenshot.view permission; shots exist</t>
  </si>
  <si>
    <t xml:space="preserve">1. Open the employee's screenshots for a date.</t>
  </si>
  <si>
    <t xml:space="preserve">Thumbnails load (token-authed); every view is access-logged.</t>
  </si>
  <si>
    <t xml:space="preserve">ADM-040</t>
  </si>
  <si>
    <t xml:space="preserve">Violation evidence</t>
  </si>
  <si>
    <t xml:space="preserve">Evidence modal shows only that violation's shots</t>
  </si>
  <si>
    <t xml:space="preserve">A violation with a linked shot + unrelated interval shots</t>
  </si>
  <si>
    <t xml:space="preserve">1. Violations → View evidence on the violation.</t>
  </si>
  <si>
    <t xml:space="preserve">Modal shows only the linked shot(s); not the full-day wall.</t>
  </si>
  <si>
    <t xml:space="preserve">B10</t>
  </si>
  <si>
    <t xml:space="preserve">ADM-041</t>
  </si>
  <si>
    <t xml:space="preserve">Evidence tenant-safe</t>
  </si>
  <si>
    <t xml:space="preserve">Cross-tenant evidence is refused</t>
  </si>
  <si>
    <t xml:space="preserve">A violation in company B</t>
  </si>
  <si>
    <t xml:space="preserve">1. As company A call /violations/{B}/evidence.</t>
  </si>
  <si>
    <t xml:space="preserve">403 — tenant-guarded; no leakage.</t>
  </si>
  <si>
    <t xml:space="preserve">ADM-042</t>
  </si>
  <si>
    <t xml:space="preserve">Expired evidence</t>
  </si>
  <si>
    <t xml:space="preserve">Purged evidence reports EXPIRED</t>
  </si>
  <si>
    <t xml:space="preserve">Violation captured a shot; retention purged it</t>
  </si>
  <si>
    <t xml:space="preserve">1. Open its evidence.</t>
  </si>
  <si>
    <t xml:space="preserve">available=false, reason=EXPIRED with a clear message (not a broken image).</t>
  </si>
  <si>
    <t xml:space="preserve">ADM-043</t>
  </si>
  <si>
    <t xml:space="preserve">Live Dashboard</t>
  </si>
  <si>
    <t xml:space="preserve">Break status live</t>
  </si>
  <si>
    <t xml:space="preserve">Dashboard reflects break status in near real-time</t>
  </si>
  <si>
    <t xml:space="preserve">Employee on a break</t>
  </si>
  <si>
    <t xml:space="preserve">1. Watch the live dashboard.</t>
  </si>
  <si>
    <t xml:space="preserve">Status shows BREAK (sub-type)/MEETING; flips promptly on a session event.</t>
  </si>
  <si>
    <t xml:space="preserve">B1 B15</t>
  </si>
  <si>
    <t xml:space="preserve">ADM-044</t>
  </si>
  <si>
    <t xml:space="preserve">Break widgets</t>
  </si>
  <si>
    <t xml:space="preserve">Break/idle/meeting widgets open the filtered list</t>
  </si>
  <si>
    <t xml:space="preserve">Live dashboard</t>
  </si>
  <si>
    <t xml:space="preserve">1. Click the Break widget.</t>
  </si>
  <si>
    <t xml:space="preserve">Opens the SAME filtered live list as Active/Idle — never the Attendance tab.</t>
  </si>
  <si>
    <t xml:space="preserve">B2 B3</t>
  </si>
  <si>
    <t xml:space="preserve">ADM-045</t>
  </si>
  <si>
    <t xml:space="preserve">Totals parity</t>
  </si>
  <si>
    <t xml:space="preserve">Dashboard totals match the reports</t>
  </si>
  <si>
    <t xml:space="preserve">A day of data</t>
  </si>
  <si>
    <t xml:space="preserve">1. Compare live/summary totals with the timeline report.</t>
  </si>
  <si>
    <t xml:space="preserve">Active/idle/break totals agree across dashboard and reports.</t>
  </si>
  <si>
    <t xml:space="preserve">A4 B15</t>
  </si>
  <si>
    <t xml:space="preserve">ADM-046</t>
  </si>
  <si>
    <t xml:space="preserve">Reports &amp; Exports</t>
  </si>
  <si>
    <t xml:space="preserve">Attendance CSV</t>
  </si>
  <si>
    <t xml:space="preserve">Export attendance with derivation columns</t>
  </si>
  <si>
    <t xml:space="preserve">export.data permission</t>
  </si>
  <si>
    <t xml:space="preserve">1. Export attendance for a range.</t>
  </si>
  <si>
    <t xml:space="preserve">CSV opens in Excel with check-in/out + source + late columns.</t>
  </si>
  <si>
    <t xml:space="preserve">ADM-047</t>
  </si>
  <si>
    <t xml:space="preserve">Productivity CSV</t>
  </si>
  <si>
    <t xml:space="preserve">Export per-employee active/idle/break</t>
  </si>
  <si>
    <t xml:space="preserve">1. Export productivity for a range.</t>
  </si>
  <si>
    <t xml:space="preserve">Correct hh:mm totals per employee.</t>
  </si>
  <si>
    <t xml:space="preserve">ADM-048</t>
  </si>
  <si>
    <t xml:space="preserve">Permission</t>
  </si>
  <si>
    <t xml:space="preserve">Export blocked without permission</t>
  </si>
  <si>
    <t xml:space="preserve">Role without export.data</t>
  </si>
  <si>
    <t xml:space="preserve">1. Attempt an export.</t>
  </si>
  <si>
    <t xml:space="preserve">403 — export gated by permission.</t>
  </si>
  <si>
    <t xml:space="preserve">ADM-049</t>
  </si>
  <si>
    <t xml:space="preserve">Audit Trail</t>
  </si>
  <si>
    <t xml:space="preserve">Explicit range</t>
  </si>
  <si>
    <t xml:space="preserve">Audit honours the exact From/To</t>
  </si>
  <si>
    <t xml:space="preserve">Auditor/admin; audit rows across dates</t>
  </si>
  <si>
    <t xml:space="preserve">1. Set From/To to a specific window. 2. Search.</t>
  </si>
  <si>
    <t xml:space="preserve">23-Jul 14:00–14:15</t>
  </si>
  <si>
    <t xml:space="preserve">Only rows in that window return — never collapses to 'last hour'.</t>
  </si>
  <si>
    <t xml:space="preserve">B13</t>
  </si>
  <si>
    <t xml:space="preserve">ADM-050</t>
  </si>
  <si>
    <t xml:space="preserve">Pagination filters</t>
  </si>
  <si>
    <t xml:space="preserve">Filters persist across pages</t>
  </si>
  <si>
    <t xml:space="preserve">A filtered range with &gt;1 page</t>
  </si>
  <si>
    <t xml:space="preserve">1. Search, then page next.</t>
  </si>
  <si>
    <t xml:space="preserve">per_page=1</t>
  </si>
  <si>
    <t xml:space="preserve">Next-page link carries the From/To (and other) filters.</t>
  </si>
  <si>
    <t xml:space="preserve">ADM-051</t>
  </si>
  <si>
    <t xml:space="preserve">Invalid range</t>
  </si>
  <si>
    <t xml:space="preserve">Invalid From&gt;To shows a message</t>
  </si>
  <si>
    <t xml:space="preserve">Audit screen</t>
  </si>
  <si>
    <t xml:space="preserve">1. Set From after To. 2. Search/Export.</t>
  </si>
  <si>
    <t xml:space="preserve">Clear 'From must be on or before To' message; no bad query.</t>
  </si>
  <si>
    <t xml:space="preserve">ADM-052</t>
  </si>
  <si>
    <t xml:space="preserve">Export full</t>
  </si>
  <si>
    <t xml:space="preserve">Export the full filtered audit trail</t>
  </si>
  <si>
    <t xml:space="preserve">audit.export permission</t>
  </si>
  <si>
    <t xml:space="preserve">1. Set filters. 2. Export CSV.</t>
  </si>
  <si>
    <t xml:space="preserve">CSV = the full filtered result (not just the page), with a timezone column.</t>
  </si>
  <si>
    <t xml:space="preserve">B14</t>
  </si>
  <si>
    <t xml:space="preserve">ADM-053</t>
  </si>
  <si>
    <t xml:space="preserve">Formula safety</t>
  </si>
  <si>
    <t xml:space="preserve">CSV neutralises spreadsheet-formula cells</t>
  </si>
  <si>
    <t xml:space="preserve">An audit action starting with '='</t>
  </si>
  <si>
    <t xml:space="preserve">1. Export and open the CSV.</t>
  </si>
  <si>
    <t xml:space="preserve">action = "=cmd()"</t>
  </si>
  <si>
    <t xml:space="preserve">The leading = is prefixed with an apostrophe; Excel cannot execute it.</t>
  </si>
  <si>
    <t xml:space="preserve">ADM-054</t>
  </si>
  <si>
    <t xml:space="preserve">Export permission</t>
  </si>
  <si>
    <t xml:space="preserve">Export blocked without audit.export</t>
  </si>
  <si>
    <t xml:space="preserve">Role lacking audit.export (e.g. manager)</t>
  </si>
  <si>
    <t xml:space="preserve">1. Call /export/audit-logs.</t>
  </si>
  <si>
    <t xml:space="preserve">403 — audit export gated by its own permission.</t>
  </si>
  <si>
    <t xml:space="preserve">ADM-055</t>
  </si>
  <si>
    <t xml:space="preserve">No secrets</t>
  </si>
  <si>
    <t xml:space="preserve">Export redacts secret-looking values</t>
  </si>
  <si>
    <t xml:space="preserve">An audit row whose changes include a password/token key</t>
  </si>
  <si>
    <t xml:space="preserve">1. Export and inspect the Details column.</t>
  </si>
  <si>
    <t xml:space="preserve">Sensitive keys are blanked (***); no passwords/tokens in the file.</t>
  </si>
  <si>
    <t xml:space="preserve">ADM-056</t>
  </si>
  <si>
    <t xml:space="preserve">Ops &amp; Troubleshooting</t>
  </si>
  <si>
    <t xml:space="preserve">Diagnostics</t>
  </si>
  <si>
    <t xml:space="preserve">System-health self-check runs</t>
  </si>
  <si>
    <t xml:space="preserve">1. Help → Troubleshooting → run checks.</t>
  </si>
  <si>
    <t xml:space="preserve">DB, migrations, storage, mail, agents, OPcache, scheduler, biometric tiles show ok/warn/down with a fix link.</t>
  </si>
  <si>
    <t xml:space="preserve">ADM-057</t>
  </si>
  <si>
    <t xml:space="preserve">Scheduler tile</t>
  </si>
  <si>
    <t xml:space="preserve">Scheduler-health tile goes green</t>
  </si>
  <si>
    <t xml:space="preserve">Task Scheduler runs schedule:run every minute</t>
  </si>
  <si>
    <t xml:space="preserve">1. Open Troubleshooting after 2 minutes.</t>
  </si>
  <si>
    <t xml:space="preserve">'Background scheduler' tile is green; turns red if schedule:run stops.</t>
  </si>
  <si>
    <t xml:space="preserve">ADM-058</t>
  </si>
  <si>
    <t xml:space="preserve">Log viewer</t>
  </si>
  <si>
    <t xml:space="preserve">In-app log tail for non-technical staff</t>
  </si>
  <si>
    <t xml:space="preserve">1. Open the log viewer.</t>
  </si>
  <si>
    <t xml:space="preserve">Recent log lines shown with a 'copy for developer' option.</t>
  </si>
  <si>
    <t xml:space="preserve">ADM-059</t>
  </si>
  <si>
    <t xml:space="preserve">Storage cleanup</t>
  </si>
  <si>
    <t xml:space="preserve">Bulk cleanup never touches attendance/audit</t>
  </si>
  <si>
    <t xml:space="preserve">Company admin; date range</t>
  </si>
  <si>
    <t xml:space="preserve">1. Run storage cleanup for a range.</t>
  </si>
  <si>
    <t xml:space="preserve">Evidence/logs removed; attendance, breaks and the audit trail untouched; violation evidence protected by default.</t>
  </si>
  <si>
    <t xml:space="preserve">ADM-060</t>
  </si>
  <si>
    <t xml:space="preserve">Enter key</t>
  </si>
  <si>
    <t xml:space="preserve">Admin sets/validates the licence key</t>
  </si>
  <si>
    <t xml:space="preserve">1. Licence → set key → validate.</t>
  </si>
  <si>
    <t xml:space="preserve">licence key</t>
  </si>
  <si>
    <t xml:space="preserve">Key stored; validation status + seats shown; daily phone-home.</t>
  </si>
  <si>
    <t xml:space="preserve">ADM-061</t>
  </si>
  <si>
    <t xml:space="preserve">Integrations</t>
  </si>
  <si>
    <t xml:space="preserve">API key</t>
  </si>
  <si>
    <t xml:space="preserve">Create + revoke an API key</t>
  </si>
  <si>
    <t xml:space="preserve">1. Create an ingest/read key. 2. Revoke it.</t>
  </si>
  <si>
    <t xml:space="preserve">Key created (shown once) and later revoked; scoped ingest/read.</t>
  </si>
  <si>
    <t xml:space="preserve">ADM-062</t>
  </si>
  <si>
    <t xml:space="preserve">Outbound push</t>
  </si>
  <si>
    <t xml:space="preserve">Push attendance to SmartPRS target</t>
  </si>
  <si>
    <t xml:space="preserve">Outbound target configured</t>
  </si>
  <si>
    <t xml:space="preserve">1. Trigger a push to the target.</t>
  </si>
  <si>
    <t xml:space="preserve">SmartPRS endpoint</t>
  </si>
  <si>
    <t xml:space="preserve">Signed attendance JSON delivered; failures don't break the app.</t>
  </si>
  <si>
    <t xml:space="preserve">ADM-063</t>
  </si>
  <si>
    <t xml:space="preserve">Storage &amp; Backups</t>
  </si>
  <si>
    <t xml:space="preserve">GCS config</t>
  </si>
  <si>
    <t xml:space="preserve">Configure + test cloud storage</t>
  </si>
  <si>
    <t xml:space="preserve">1. Set GCS creds → Test.</t>
  </si>
  <si>
    <t xml:space="preserve">Test succeeds; new evidence stored to GCS.</t>
  </si>
  <si>
    <t xml:space="preserve">ADM-064</t>
  </si>
  <si>
    <t xml:space="preserve">Backup now</t>
  </si>
  <si>
    <t xml:space="preserve">Run a database backup</t>
  </si>
  <si>
    <t xml:space="preserve">1. Ops → Backup now.</t>
  </si>
  <si>
    <t xml:space="preserve">A gzipped backup is created; newest N retained.</t>
  </si>
  <si>
    <t xml:space="preserve">AGT-001</t>
  </si>
  <si>
    <t xml:space="preserve">Install &amp; Pairing</t>
  </si>
  <si>
    <t xml:space="preserve">Fresh install</t>
  </si>
  <si>
    <t xml:space="preserve">Install the agent on a clean PC</t>
  </si>
  <si>
    <t xml:space="preserve">Windows test PC; installer available</t>
  </si>
  <si>
    <t xml:space="preserve">1. Run the installer. 2. Complete setup.</t>
  </si>
  <si>
    <t xml:space="preserve">installer</t>
  </si>
  <si>
    <t xml:space="preserve">Agent installs, starts, and shows the pairing/login screen.</t>
  </si>
  <si>
    <t xml:space="preserve">AGT-002</t>
  </si>
  <si>
    <t xml:space="preserve">Upgrade install</t>
  </si>
  <si>
    <t xml:space="preserve">Upgrade preserves pairing</t>
  </si>
  <si>
    <t xml:space="preserve">Agent already paired</t>
  </si>
  <si>
    <t xml:space="preserve">1. Install the newer build over it.</t>
  </si>
  <si>
    <t xml:space="preserve">new build</t>
  </si>
  <si>
    <t xml:space="preserve">Existing device pairing/token preserved; no re-registration needed.</t>
  </si>
  <si>
    <t xml:space="preserve">AGT-003</t>
  </si>
  <si>
    <t xml:space="preserve">Register device</t>
  </si>
  <si>
    <t xml:space="preserve">Device registers against the server</t>
  </si>
  <si>
    <t xml:space="preserve">Valid employee login</t>
  </si>
  <si>
    <t xml:space="preserve">1. Sign in on the agent. 2. Register the device.</t>
  </si>
  <si>
    <t xml:space="preserve">device uuid</t>
  </si>
  <si>
    <t xml:space="preserve">Device bound to the employee; a device token is issued.</t>
  </si>
  <si>
    <t xml:space="preserve">AGT-004</t>
  </si>
  <si>
    <t xml:space="preserve">Seat limit</t>
  </si>
  <si>
    <t xml:space="preserve">Registration bounded by licensed seats</t>
  </si>
  <si>
    <t xml:space="preserve">All seats used</t>
  </si>
  <si>
    <t xml:space="preserve">1. Try to register one more device.</t>
  </si>
  <si>
    <t xml:space="preserve">Registration refused / requires an admin to free a seat.</t>
  </si>
  <si>
    <t xml:space="preserve">AGT-005</t>
  </si>
  <si>
    <t xml:space="preserve">Consent</t>
  </si>
  <si>
    <t xml:space="preserve">Consent wall</t>
  </si>
  <si>
    <t xml:space="preserve">Consent required before tracking</t>
  </si>
  <si>
    <t xml:space="preserve">Policy requires consent</t>
  </si>
  <si>
    <t xml:space="preserve">1. First run. 2. Review + acknowledge consent.</t>
  </si>
  <si>
    <t xml:space="preserve">No tracking until consent is recorded; consent hash stored.</t>
  </si>
  <si>
    <t xml:space="preserve">AGT-006</t>
  </si>
  <si>
    <t xml:space="preserve">Login/Session</t>
  </si>
  <si>
    <t xml:space="preserve">Login time shown</t>
  </si>
  <si>
    <t xml:space="preserve">Login time never blanks</t>
  </si>
  <si>
    <t xml:space="preserve">Paired agent</t>
  </si>
  <si>
    <t xml:space="preserve">1. Log in. 2. Observe the 'logged in at' value.</t>
  </si>
  <si>
    <t xml:space="preserve">Shows a real time (Loading→value); never blank or 'Invalid Date'.</t>
  </si>
  <si>
    <t xml:space="preserve">A1</t>
  </si>
  <si>
    <t xml:space="preserve">AGT-007</t>
  </si>
  <si>
    <t xml:space="preserve">Offline login value</t>
  </si>
  <si>
    <t xml:space="preserve">Cached login time on a fetch error</t>
  </si>
  <si>
    <t xml:space="preserve">Agent online then briefly offline</t>
  </si>
  <si>
    <t xml:space="preserve">1. Log in. 2. Drop the network. 3. Observe today panel.</t>
  </si>
  <si>
    <t xml:space="preserve">Last server-confirmed login time is retained with an offline/last-synced hint.</t>
  </si>
  <si>
    <t xml:space="preserve">AGT-008</t>
  </si>
  <si>
    <t xml:space="preserve">First login pinned</t>
  </si>
  <si>
    <t xml:space="preserve">Re-login keeps the first login time</t>
  </si>
  <si>
    <t xml:space="preserve">Logged in earlier today</t>
  </si>
  <si>
    <t xml:space="preserve">1. Log out/in again later. 2. Check today.</t>
  </si>
  <si>
    <t xml:space="preserve">The shown login time stays the FIRST login of the day, not the latest.</t>
  </si>
  <si>
    <t xml:space="preserve">A2</t>
  </si>
  <si>
    <t xml:space="preserve">AGT-009</t>
  </si>
  <si>
    <t xml:space="preserve">Single device</t>
  </si>
  <si>
    <t xml:space="preserve">2nd concurrent PC login is controlled</t>
  </si>
  <si>
    <t xml:space="preserve">Employee already active on PC A</t>
  </si>
  <si>
    <t xml:space="preserve">1. Log in on PC B.</t>
  </si>
  <si>
    <t xml:space="preserve">409 SINGLE_SESSION_ACTIVE (or admin-controlled takeover), per policy.</t>
  </si>
  <si>
    <t xml:space="preserve">AGT-010</t>
  </si>
  <si>
    <t xml:space="preserve">Gate-to-PC</t>
  </si>
  <si>
    <t xml:space="preserve">No punch → no start</t>
  </si>
  <si>
    <t xml:space="preserve">Gate blocks the session without a punch</t>
  </si>
  <si>
    <t xml:space="preserve">Company gate enabled; no IN punch today</t>
  </si>
  <si>
    <t xml:space="preserve">1. Sign in on the agent.</t>
  </si>
  <si>
    <t xml:space="preserve">Gate wall shown; work session does not start (423 on attendance/tracking).</t>
  </si>
  <si>
    <t xml:space="preserve">AGT-011</t>
  </si>
  <si>
    <t xml:space="preserve">Open after punch</t>
  </si>
  <si>
    <t xml:space="preserve">Session starts after a synced IN punch</t>
  </si>
  <si>
    <t xml:space="preserve">Gate enabled</t>
  </si>
  <si>
    <t xml:space="preserve">1. Punch IN at the reader. 2. Wait for sync. 3. Agent retries.</t>
  </si>
  <si>
    <t xml:space="preserve">IN punch</t>
  </si>
  <si>
    <t xml:space="preserve">Gate opens; tracking begins only after the verified punch.</t>
  </si>
  <si>
    <t xml:space="preserve">AGT-012</t>
  </si>
  <si>
    <t xml:space="preserve">No capture while denied</t>
  </si>
  <si>
    <t xml:space="preserve">No tracking/screenshots while gate closed</t>
  </si>
  <si>
    <t xml:space="preserve">Gate closed (pre-punch or punched-out)</t>
  </si>
  <si>
    <t xml:space="preserve">1. Observe activity/screenshot posts.</t>
  </si>
  <si>
    <t xml:space="preserve">Ingestion refused (423); nothing captured until the gate opens.</t>
  </si>
  <si>
    <t xml:space="preserve">AGT-013</t>
  </si>
  <si>
    <t xml:space="preserve">Fail closed</t>
  </si>
  <si>
    <t xml:space="preserve">Gate fails closed on a server error</t>
  </si>
  <si>
    <t xml:space="preserve">Gate status endpoint unreachable; org not confirmed non-gated</t>
  </si>
  <si>
    <t xml:space="preserve">1. Start the agent while the gate check errors.</t>
  </si>
  <si>
    <t xml:space="preserve">Wall stays up and polls; never starts tracking on an unknown state.</t>
  </si>
  <si>
    <t xml:space="preserve">AGT-014</t>
  </si>
  <si>
    <t xml:space="preserve">Activity Tracking</t>
  </si>
  <si>
    <t xml:space="preserve">Active/Idle</t>
  </si>
  <si>
    <t xml:space="preserve">Active and idle stretches are recorded</t>
  </si>
  <si>
    <t xml:space="preserve">Tracking running</t>
  </si>
  <si>
    <t xml:space="preserve">1. Work, then leave idle past the threshold.</t>
  </si>
  <si>
    <t xml:space="preserve">ACTIVE then IDLE segments recorded; durations correct.</t>
  </si>
  <si>
    <t xml:space="preserve">A4</t>
  </si>
  <si>
    <t xml:space="preserve">AGT-015</t>
  </si>
  <si>
    <t xml:space="preserve">Lock → idle</t>
  </si>
  <si>
    <t xml:space="preserve">Locking the PC forces idle</t>
  </si>
  <si>
    <t xml:space="preserve">1. Lock the workstation.</t>
  </si>
  <si>
    <t xml:space="preserve">Status forces IDLE instantly; no active time credited while locked.</t>
  </si>
  <si>
    <t xml:space="preserve">AGT-016</t>
  </si>
  <si>
    <t xml:space="preserve">Display off / sleep</t>
  </si>
  <si>
    <t xml:space="preserve">No capture while display-off/suspended</t>
  </si>
  <si>
    <t xml:space="preserve">1. Turn the display off / sleep the PC.</t>
  </si>
  <si>
    <t xml:space="preserve">No screenshots; idle/paused; resumes cleanly on wake.</t>
  </si>
  <si>
    <t xml:space="preserve">AGT-017</t>
  </si>
  <si>
    <t xml:space="preserve">One break at a time</t>
  </si>
  <si>
    <t xml:space="preserve">Buttons prevent overlapping breaks</t>
  </si>
  <si>
    <t xml:space="preserve">On a Tea break</t>
  </si>
  <si>
    <t xml:space="preserve">1. Try to start a Lunch break.</t>
  </si>
  <si>
    <t xml:space="preserve">Other break/meeting buttons disabled; 'end current break first'.</t>
  </si>
  <si>
    <t xml:space="preserve">AGT-018</t>
  </si>
  <si>
    <t xml:space="preserve">Break elapsed</t>
  </si>
  <si>
    <t xml:space="preserve">Break elapsed uses server time</t>
  </si>
  <si>
    <t xml:space="preserve">On a break</t>
  </si>
  <si>
    <t xml:space="preserve">1. Observe the running elapsed.</t>
  </si>
  <si>
    <t xml:space="preserve">Elapsed advances on the server-corrected clock (not the local wall clock).</t>
  </si>
  <si>
    <t xml:space="preserve">A5</t>
  </si>
  <si>
    <t xml:space="preserve">AGT-019</t>
  </si>
  <si>
    <t xml:space="preserve">Join in window</t>
  </si>
  <si>
    <t xml:space="preserve">Participant can join within the window</t>
  </si>
  <si>
    <t xml:space="preserve">Employee is a participant; meeting live</t>
  </si>
  <si>
    <t xml:space="preserve">1. Press the Meeting button.</t>
  </si>
  <si>
    <t xml:space="preserve">Meeting status starts; only appears when authorised + in-window.</t>
  </si>
  <si>
    <t xml:space="preserve">A7</t>
  </si>
  <si>
    <t xml:space="preserve">AGT-020</t>
  </si>
  <si>
    <t xml:space="preserve">No break+meeting</t>
  </si>
  <si>
    <t xml:space="preserve">Meeting and break cannot run together</t>
  </si>
  <si>
    <t xml:space="preserve">In a meeting</t>
  </si>
  <si>
    <t xml:space="preserve">1. Try to start a break (and vice-versa).</t>
  </si>
  <si>
    <t xml:space="preserve">Rejected; meeting and break are mutually exclusive.</t>
  </si>
  <si>
    <t xml:space="preserve">AGT-021</t>
  </si>
  <si>
    <t xml:space="preserve">Non-participant</t>
  </si>
  <si>
    <t xml:space="preserve">A non-participant cannot join</t>
  </si>
  <si>
    <t xml:space="preserve">Employee not on the meeting</t>
  </si>
  <si>
    <t xml:space="preserve">1. Attempt to join.</t>
  </si>
  <si>
    <t xml:space="preserve">403 — server-authorised join only.</t>
  </si>
  <si>
    <t xml:space="preserve">AGT-022</t>
  </si>
  <si>
    <t xml:space="preserve">Screenshots</t>
  </si>
  <si>
    <t xml:space="preserve">Interval honoured</t>
  </si>
  <si>
    <t xml:space="preserve">10-min policy = ~1 shot / 10 min</t>
  </si>
  <si>
    <t xml:space="preserve">Screenshot policy interval 10 min; rebuilt agent</t>
  </si>
  <si>
    <t xml:space="preserve">1. Run for ~30 minutes.</t>
  </si>
  <si>
    <t xml:space="preserve">About 3 captures — NOT one per minute; the resolved interval is honoured.</t>
  </si>
  <si>
    <t xml:space="preserve">AGT-023</t>
  </si>
  <si>
    <t xml:space="preserve">Live refresh</t>
  </si>
  <si>
    <t xml:space="preserve">Interval change applies without restart</t>
  </si>
  <si>
    <t xml:space="preserve">Agent running; admin changes the interval</t>
  </si>
  <si>
    <t xml:space="preserve">1. Change the policy interval. 2. Wait for the next policy refresh.</t>
  </si>
  <si>
    <t xml:space="preserve">10→5 min</t>
  </si>
  <si>
    <t xml:space="preserve">New cadence applies live; the old timer is cleared (no double scheduler).</t>
  </si>
  <si>
    <t xml:space="preserve">B11 D5</t>
  </si>
  <si>
    <t xml:space="preserve">AGT-024</t>
  </si>
  <si>
    <t xml:space="preserve">No stacked timers</t>
  </si>
  <si>
    <t xml:space="preserve">Reconnect/refresh doesn't stack timers</t>
  </si>
  <si>
    <t xml:space="preserve">Agent reconnects / policy re-applies</t>
  </si>
  <si>
    <t xml:space="preserve">1. Force several policy refreshes.</t>
  </si>
  <si>
    <t xml:space="preserve">Exactly one scheduler runs; capture rate stays at the configured interval.</t>
  </si>
  <si>
    <t xml:space="preserve">AGT-025</t>
  </si>
  <si>
    <t xml:space="preserve">Violation evidence tag</t>
  </si>
  <si>
    <t xml:space="preserve">A blocked-app shot carries a correlation id</t>
  </si>
  <si>
    <t xml:space="preserve">on_blocked_app policy on</t>
  </si>
  <si>
    <t xml:space="preserve">1. Open a blocked app.</t>
  </si>
  <si>
    <t xml:space="preserve">A screenshot + a compliance event are posted sharing one correlation id (links on the server).</t>
  </si>
  <si>
    <t xml:space="preserve">AGT-026</t>
  </si>
  <si>
    <t xml:space="preserve">Privacy raw-IP</t>
  </si>
  <si>
    <t xml:space="preserve">No shot of a raw-IP/localhost page</t>
  </si>
  <si>
    <t xml:space="preserve">exclude_ip_sites on; browser on a bare IP</t>
  </si>
  <si>
    <t xml:space="preserve">1. Trigger a capture while a raw-IP page is in front.</t>
  </si>
  <si>
    <t xml:space="preserve">http://10.x</t>
  </si>
  <si>
    <t xml:space="preserve">No screenshot of that content is grabbed or stored.</t>
  </si>
  <si>
    <t xml:space="preserve">AGT-027</t>
  </si>
  <si>
    <t xml:space="preserve">Time Integrity</t>
  </si>
  <si>
    <t xml:space="preserve">Server clock</t>
  </si>
  <si>
    <t xml:space="preserve">Server-corrected time is used for stamps</t>
  </si>
  <si>
    <t xml:space="preserve">Agent synced to the server</t>
  </si>
  <si>
    <t xml:space="preserve">1. Compare stamped times with the server.</t>
  </si>
  <si>
    <t xml:space="preserve">Stamps derive from the server offset + a monotonic base.</t>
  </si>
  <si>
    <t xml:space="preserve">AGT-028</t>
  </si>
  <si>
    <t xml:space="preserve">Clock forward</t>
  </si>
  <si>
    <t xml:space="preserve">Moving the PC clock forward doesn't inflate time</t>
  </si>
  <si>
    <t xml:space="preserve">1. Set the PC clock ahead by 2 hours.</t>
  </si>
  <si>
    <t xml:space="preserve">clock +2h</t>
  </si>
  <si>
    <t xml:space="preserve">Recorded durations follow real elapsed time, not the tampered clock.</t>
  </si>
  <si>
    <t xml:space="preserve">AGT-029</t>
  </si>
  <si>
    <t xml:space="preserve">Clock backward</t>
  </si>
  <si>
    <t xml:space="preserve">Moving the clock back doesn't shrink time</t>
  </si>
  <si>
    <t xml:space="preserve">1. Set the PC clock back.</t>
  </si>
  <si>
    <t xml:space="preserve">clock -1h</t>
  </si>
  <si>
    <t xml:space="preserve">Elapsed cannot shrink; monotonic base protects duration.</t>
  </si>
  <si>
    <t xml:space="preserve">AGT-030</t>
  </si>
  <si>
    <t xml:space="preserve">Offline reconcile</t>
  </si>
  <si>
    <t xml:space="preserve">Offline events keep their order + times</t>
  </si>
  <si>
    <t xml:space="preserve">Agent offline then reconnects</t>
  </si>
  <si>
    <t xml:space="preserve">1. Generate events offline. 2. Reconnect and sync.</t>
  </si>
  <si>
    <t xml:space="preserve">Events reconcile with server time; original sequence preserved.</t>
  </si>
  <si>
    <t xml:space="preserve">AGT-031</t>
  </si>
  <si>
    <t xml:space="preserve">Exit &amp; Tamper</t>
  </si>
  <si>
    <t xml:space="preserve">Exit lock</t>
  </si>
  <si>
    <t xml:space="preserve">Exit requires the admin password</t>
  </si>
  <si>
    <t xml:space="preserve">exit_lock_enabled with a password set</t>
  </si>
  <si>
    <t xml:space="preserve">1. Try to exit the agent from the tray.</t>
  </si>
  <si>
    <t xml:space="preserve">wrong then right password</t>
  </si>
  <si>
    <t xml:space="preserve">Plain Exit is replaced; wrong password blocked (5-try → lockout); correct password exits.</t>
  </si>
  <si>
    <t xml:space="preserve">A8</t>
  </si>
  <si>
    <t xml:space="preserve">AGT-032</t>
  </si>
  <si>
    <t xml:space="preserve">Window close</t>
  </si>
  <si>
    <t xml:space="preserve">Closing the window minimises to tray</t>
  </si>
  <si>
    <t xml:space="preserve">Agent running</t>
  </si>
  <si>
    <t xml:space="preserve">1. Click the window close (X).</t>
  </si>
  <si>
    <t xml:space="preserve">App minimises to the tray; tracking continues (no silent exit).</t>
  </si>
  <si>
    <t xml:space="preserve">AGT-033</t>
  </si>
  <si>
    <t xml:space="preserve">Tamper log</t>
  </si>
  <si>
    <t xml:space="preserve">Exit/stop/uninstall attempts are reported</t>
  </si>
  <si>
    <t xml:space="preserve">Agent online</t>
  </si>
  <si>
    <t xml:space="preserve">1. Attempt a blocked exit / service stop.</t>
  </si>
  <si>
    <t xml:space="preserve">A tamper event is recorded on the server (attempt/outcome).</t>
  </si>
  <si>
    <t xml:space="preserve">AGT-034</t>
  </si>
  <si>
    <t xml:space="preserve">Standard-user uninstall</t>
  </si>
  <si>
    <t xml:space="preserve">Standard user cannot silently uninstall</t>
  </si>
  <si>
    <t xml:space="preserve">Non-admin Windows user</t>
  </si>
  <si>
    <t xml:space="preserve">1. Attempt to uninstall the agent.</t>
  </si>
  <si>
    <t xml:space="preserve">Blocked by the NSIS uninstall guard (residual admin/physical limit documented).</t>
  </si>
  <si>
    <t xml:space="preserve">AGT-035</t>
  </si>
  <si>
    <t xml:space="preserve">Authorized maintenance</t>
  </si>
  <si>
    <t xml:space="preserve">Admin can perform maintenance/uninstall</t>
  </si>
  <si>
    <t xml:space="preserve">Authorized admin</t>
  </si>
  <si>
    <t xml:space="preserve">1. Perform the authorized maintenance/uninstall.</t>
  </si>
  <si>
    <t xml:space="preserve">admin</t>
  </si>
  <si>
    <t xml:space="preserve">Allowed and audited; the intended admin path works.</t>
  </si>
  <si>
    <t xml:space="preserve">AGT-036</t>
  </si>
  <si>
    <t xml:space="preserve">Offline &amp; Sync</t>
  </si>
  <si>
    <t xml:space="preserve">Network drop</t>
  </si>
  <si>
    <t xml:space="preserve">Data queues offline and drains on reconnect</t>
  </si>
  <si>
    <t xml:space="preserve">1. Drop the network for a while. 2. Reconnect.</t>
  </si>
  <si>
    <t xml:space="preserve">Events/screenshots stash locally and upload on reconnect; nothing lost.</t>
  </si>
  <si>
    <t xml:space="preserve">AGT-037</t>
  </si>
  <si>
    <t xml:space="preserve">Pending screenshots</t>
  </si>
  <si>
    <t xml:space="preserve">Stashed captures retry until delivered</t>
  </si>
  <si>
    <t xml:space="preserve">Uploads failed while offline</t>
  </si>
  <si>
    <t xml:space="preserve">1. Reconnect.</t>
  </si>
  <si>
    <t xml:space="preserve">Pending shots drain via the retry loop; duplicates avoided.</t>
  </si>
  <si>
    <t xml:space="preserve">AGT-038</t>
  </si>
  <si>
    <t xml:space="preserve">Cross-platform</t>
  </si>
  <si>
    <t xml:space="preserve">macOS login time</t>
  </si>
  <si>
    <t xml:space="preserve">macOS shows correct login + org timezone</t>
  </si>
  <si>
    <t xml:space="preserve">macOS agent build</t>
  </si>
  <si>
    <t xml:space="preserve">1. Sign in on macOS.</t>
  </si>
  <si>
    <t xml:space="preserve">Login time + durations correct; timestamps org-consistent (no locale drift).</t>
  </si>
  <si>
    <t xml:space="preserve">B12</t>
  </si>
  <si>
    <t xml:space="preserve">AGT-039</t>
  </si>
  <si>
    <t xml:space="preserve">macOS sleep/wake</t>
  </si>
  <si>
    <t xml:space="preserve">Ordering holds after sleep/wake</t>
  </si>
  <si>
    <t xml:space="preserve">macOS agent</t>
  </si>
  <si>
    <t xml:space="preserve">1. Sleep then wake the Mac.</t>
  </si>
  <si>
    <t xml:space="preserve">Event ordering + durations remain correct after wake.</t>
  </si>
  <si>
    <t xml:space="preserve">AGT-040</t>
  </si>
  <si>
    <t xml:space="preserve">macOS clock change</t>
  </si>
  <si>
    <t xml:space="preserve">Local time change doesn't corrupt times</t>
  </si>
  <si>
    <t xml:space="preserve">1. Change the Mac's local time.</t>
  </si>
  <si>
    <t xml:space="preserve">Server-time authority keeps recorded durations correct.</t>
  </si>
  <si>
    <t xml:space="preserve">AGT-041</t>
  </si>
  <si>
    <t xml:space="preserve">Linux agent</t>
  </si>
  <si>
    <t xml:space="preserve">Linux build tracks correctly</t>
  </si>
  <si>
    <t xml:space="preserve">Linux agent build</t>
  </si>
  <si>
    <t xml:space="preserve">1. Run active/idle + a break on Linux.</t>
  </si>
  <si>
    <t xml:space="preserve">Active/idle + break durations recorded correctly.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</si>
</sst>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5C6B"/>
      <name val="Arial"/>
      <family val="0"/>
      <charset val="1"/>
    </font>
    <font>
      <b val="true"/>
      <sz val="14"/>
      <color rgb="FF052A33"/>
      <name val="Arial"/>
      <family val="0"/>
      <charset val="1"/>
    </font>
    <font>
      <b val="true"/>
      <sz val="11"/>
      <color rgb="FF052A33"/>
      <name val="Arial"/>
      <family val="0"/>
      <charset val="1"/>
    </font>
    <font>
      <sz val="10"/>
      <color rgb="FF1C2B2F"/>
      <name val="Arial"/>
      <family val="0"/>
      <charset val="1"/>
    </font>
    <font>
      <b val="true"/>
      <sz val="15"/>
      <color rgb="FF052A33"/>
      <name val="Arial"/>
      <family val="0"/>
      <charset val="1"/>
    </font>
    <font>
      <b val="true"/>
      <sz val="10"/>
      <color rgb="FFEAF6F8"/>
      <name val="Arial"/>
      <family val="0"/>
      <charset val="1"/>
    </font>
    <font>
      <b val="true"/>
      <sz val="10"/>
      <color rgb="FF0A465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52A33"/>
        <bgColor rgb="FF1C2B2F"/>
      </patternFill>
    </fill>
    <fill>
      <patternFill patternType="solid">
        <fgColor rgb="FFFAFCFC"/>
        <bgColor rgb="FFEA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2E4"/>
      </left>
      <right style="thin">
        <color rgb="FFD8E2E4"/>
      </right>
      <top style="thin">
        <color rgb="FFD8E2E4"/>
      </top>
      <bottom style="thin">
        <color rgb="FFD8E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52A33"/>
          <bgColor rgb="FF000000"/>
        </patternFill>
      </fill>
    </dxf>
    <dxf>
      <fill>
        <patternFill patternType="solid">
          <fgColor rgb="FFFAFC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A4653"/>
          <bgColor rgb="FF000000"/>
        </patternFill>
      </fill>
    </dxf>
    <dxf>
      <fill>
        <patternFill patternType="solid">
          <fgColor rgb="FFEAF6F8"/>
          <bgColor rgb="FF000000"/>
        </patternFill>
      </fill>
    </dxf>
    <dxf>
      <fill>
        <patternFill patternType="solid">
          <fgColor rgb="FF1C2B2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AFC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5C6B"/>
      <rgbColor rgb="FFC0C0C0"/>
      <rgbColor rgb="FF808080"/>
      <rgbColor rgb="FF9999FF"/>
      <rgbColor rgb="FF993366"/>
      <rgbColor rgb="FFFFFFCC"/>
      <rgbColor rgb="FFEAF6F8"/>
      <rgbColor rgb="FF660066"/>
      <rgbColor rgb="FFFF8080"/>
      <rgbColor rgb="FF0066CC"/>
      <rgbColor rgb="FFD8E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4653"/>
      <rgbColor rgb="FF339966"/>
      <rgbColor rgb="FF052A33"/>
      <rgbColor rgb="FF333300"/>
      <rgbColor rgb="FF993300"/>
      <rgbColor rgb="FF993366"/>
      <rgbColor rgb="FF333399"/>
      <rgbColor rgb="FF1C2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88"/>
  </cols>
  <sheetData>
    <row r="2" customFormat="false" ht="24.45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9" customFormat="false" ht="30" hidden="false" customHeight="true" outlineLevel="0" collapsed="false">
      <c r="B9" s="3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30" hidden="false" customHeight="true" outlineLevel="0" collapsed="false">
      <c r="B11" s="3" t="s">
        <v>14</v>
      </c>
      <c r="C11" s="4" t="s">
        <v>15</v>
      </c>
    </row>
    <row r="12" customFormat="false" ht="30" hidden="false" customHeight="true" outlineLevel="0" collapsed="false">
      <c r="B12" s="3" t="s">
        <v>16</v>
      </c>
      <c r="C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7" min="3" style="0" width="9"/>
  </cols>
  <sheetData>
    <row r="2" customFormat="false" ht="18.55" hidden="false" customHeight="false" outlineLevel="0" collapsed="false">
      <c r="B2" s="5" t="s">
        <v>18</v>
      </c>
    </row>
    <row r="4" customFormat="false" ht="15" hidden="false" customHeight="false" outlineLevel="0" collapsed="false"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</row>
    <row r="5" customFormat="false" ht="15" hidden="false" customHeight="false" outlineLevel="0" collapsed="false">
      <c r="B5" s="7" t="s">
        <v>25</v>
      </c>
      <c r="C5" s="7" t="n">
        <v>23</v>
      </c>
      <c r="D5" s="7" t="n">
        <f aca="false">COUNTIF(Central!$L$2:$L$24,"Pass")</f>
        <v>0</v>
      </c>
      <c r="E5" s="7" t="n">
        <f aca="false">COUNTIF(Central!$L$2:$L$24,"Fail")</f>
        <v>0</v>
      </c>
      <c r="F5" s="7" t="n">
        <f aca="false">COUNTIF(Central!$L$2:$L$24,"Blocked")</f>
        <v>0</v>
      </c>
      <c r="G5" s="7" t="n">
        <f aca="false">23-COUNTIF(Central!$L$2:$L$24,"Pass")-COUNTIF(Central!$L$2:$L$24,"Fail")-COUNTIF(Central!$L$2:$L$24,"Blocked")</f>
        <v>23</v>
      </c>
    </row>
    <row r="6" customFormat="false" ht="15" hidden="false" customHeight="false" outlineLevel="0" collapsed="false">
      <c r="B6" s="7" t="s">
        <v>26</v>
      </c>
      <c r="C6" s="7" t="n">
        <v>64</v>
      </c>
      <c r="D6" s="7" t="n">
        <f aca="false">COUNTIF('Admin (Console &amp; Server)'!$L$2:$L$65,"Pass")</f>
        <v>0</v>
      </c>
      <c r="E6" s="7" t="n">
        <f aca="false">COUNTIF('Admin (Console &amp; Server)'!$L$2:$L$65,"Fail")</f>
        <v>0</v>
      </c>
      <c r="F6" s="7" t="n">
        <f aca="false">COUNTIF('Admin (Console &amp; Server)'!$L$2:$L$65,"Blocked")</f>
        <v>0</v>
      </c>
      <c r="G6" s="7" t="n">
        <f aca="false">64-COUNTIF('Admin (Console &amp; Server)'!$L$2:$L$65,"Pass")-COUNTIF('Admin (Console &amp; Server)'!$L$2:$L$65,"Fail")-COUNTIF('Admin (Console &amp; Server)'!$L$2:$L$65,"Blocked")</f>
        <v>64</v>
      </c>
    </row>
    <row r="7" customFormat="false" ht="15" hidden="false" customHeight="false" outlineLevel="0" collapsed="false">
      <c r="B7" s="7" t="s">
        <v>27</v>
      </c>
      <c r="C7" s="7" t="n">
        <v>41</v>
      </c>
      <c r="D7" s="7" t="n">
        <f aca="false">COUNTIF('Agent (Desktop)'!$L$2:$L$42,"Pass")</f>
        <v>0</v>
      </c>
      <c r="E7" s="7" t="n">
        <f aca="false">COUNTIF('Agent (Desktop)'!$L$2:$L$42,"Fail")</f>
        <v>0</v>
      </c>
      <c r="F7" s="7" t="n">
        <f aca="false">COUNTIF('Agent (Desktop)'!$L$2:$L$42,"Blocked")</f>
        <v>0</v>
      </c>
      <c r="G7" s="7" t="n">
        <f aca="false">41-COUNTIF('Agent (Desktop)'!$L$2:$L$42,"Pass")-COUNTIF('Agent (Desktop)'!$L$2:$L$42,"Fail")-COUNTIF('Agent (Desktop)'!$L$2:$L$42,"Blocked")</f>
        <v>41</v>
      </c>
    </row>
    <row r="8" customFormat="false" ht="15" hidden="false" customHeight="false" outlineLevel="0" collapsed="false">
      <c r="B8" s="8" t="s">
        <v>28</v>
      </c>
      <c r="C8" s="8" t="n">
        <f aca="false">SUM(C5:C7)</f>
        <v>128</v>
      </c>
      <c r="D8" s="8" t="n">
        <f aca="false">SUM(D5:D7)</f>
        <v>0</v>
      </c>
      <c r="E8" s="8" t="n">
        <f aca="false">SUM(E5:E7)</f>
        <v>0</v>
      </c>
      <c r="F8" s="8" t="n">
        <f aca="false">SUM(F5:F7)</f>
        <v>0</v>
      </c>
      <c r="G8" s="8" t="n">
        <f aca="false">SUM(G5:G7)</f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6" t="s">
        <v>29</v>
      </c>
      <c r="B1" s="6" t="s">
        <v>19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</row>
    <row r="2" customFormat="false" ht="23.85" hidden="false" customHeight="false" outlineLevel="0" collapsed="false">
      <c r="A2" s="9" t="s">
        <v>41</v>
      </c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1" t="s">
        <v>49</v>
      </c>
      <c r="J2" s="11" t="s">
        <v>50</v>
      </c>
      <c r="K2" s="11"/>
      <c r="L2" s="12"/>
      <c r="M2" s="13"/>
    </row>
    <row r="3" customFormat="false" ht="23.85" hidden="false" customHeight="false" outlineLevel="0" collapsed="false">
      <c r="A3" s="14" t="s">
        <v>51</v>
      </c>
      <c r="B3" s="15" t="s">
        <v>42</v>
      </c>
      <c r="C3" s="15" t="s">
        <v>52</v>
      </c>
      <c r="D3" s="15" t="s">
        <v>53</v>
      </c>
      <c r="E3" s="15" t="s">
        <v>54</v>
      </c>
      <c r="F3" s="15" t="s">
        <v>55</v>
      </c>
      <c r="G3" s="15" t="s">
        <v>56</v>
      </c>
      <c r="H3" s="15" t="s">
        <v>57</v>
      </c>
      <c r="I3" s="16" t="s">
        <v>49</v>
      </c>
      <c r="J3" s="16" t="s">
        <v>58</v>
      </c>
      <c r="K3" s="16"/>
      <c r="L3" s="17"/>
      <c r="M3" s="18"/>
    </row>
    <row r="4" customFormat="false" ht="23.85" hidden="false" customHeight="false" outlineLevel="0" collapsed="false">
      <c r="A4" s="9" t="s">
        <v>59</v>
      </c>
      <c r="B4" s="10" t="s">
        <v>42</v>
      </c>
      <c r="C4" s="10" t="s">
        <v>60</v>
      </c>
      <c r="D4" s="10" t="s">
        <v>61</v>
      </c>
      <c r="E4" s="10" t="s">
        <v>54</v>
      </c>
      <c r="F4" s="10" t="s">
        <v>62</v>
      </c>
      <c r="G4" s="10" t="s">
        <v>63</v>
      </c>
      <c r="H4" s="10" t="s">
        <v>64</v>
      </c>
      <c r="I4" s="11" t="s">
        <v>65</v>
      </c>
      <c r="J4" s="11" t="s">
        <v>66</v>
      </c>
      <c r="K4" s="11"/>
      <c r="L4" s="12"/>
      <c r="M4" s="13"/>
    </row>
    <row r="5" customFormat="false" ht="35.05" hidden="false" customHeight="false" outlineLevel="0" collapsed="false">
      <c r="A5" s="14" t="s">
        <v>67</v>
      </c>
      <c r="B5" s="15" t="s">
        <v>68</v>
      </c>
      <c r="C5" s="15" t="s">
        <v>69</v>
      </c>
      <c r="D5" s="15" t="s">
        <v>70</v>
      </c>
      <c r="E5" s="15" t="s">
        <v>71</v>
      </c>
      <c r="F5" s="15" t="s">
        <v>72</v>
      </c>
      <c r="G5" s="15" t="s">
        <v>73</v>
      </c>
      <c r="H5" s="15" t="s">
        <v>74</v>
      </c>
      <c r="I5" s="16" t="s">
        <v>49</v>
      </c>
      <c r="J5" s="16" t="s">
        <v>50</v>
      </c>
      <c r="K5" s="16"/>
      <c r="L5" s="17"/>
      <c r="M5" s="18"/>
    </row>
    <row r="6" customFormat="false" ht="23.85" hidden="false" customHeight="false" outlineLevel="0" collapsed="false">
      <c r="A6" s="9" t="s">
        <v>75</v>
      </c>
      <c r="B6" s="10" t="s">
        <v>68</v>
      </c>
      <c r="C6" s="10" t="s">
        <v>76</v>
      </c>
      <c r="D6" s="10" t="s">
        <v>77</v>
      </c>
      <c r="E6" s="10" t="s">
        <v>78</v>
      </c>
      <c r="F6" s="10" t="s">
        <v>79</v>
      </c>
      <c r="G6" s="10" t="s">
        <v>80</v>
      </c>
      <c r="H6" s="10" t="s">
        <v>81</v>
      </c>
      <c r="I6" s="11" t="s">
        <v>49</v>
      </c>
      <c r="J6" s="11" t="s">
        <v>66</v>
      </c>
      <c r="K6" s="11"/>
      <c r="L6" s="12"/>
      <c r="M6" s="13"/>
    </row>
    <row r="7" customFormat="false" ht="23.85" hidden="false" customHeight="false" outlineLevel="0" collapsed="false">
      <c r="A7" s="14" t="s">
        <v>82</v>
      </c>
      <c r="B7" s="15" t="s">
        <v>68</v>
      </c>
      <c r="C7" s="15" t="s">
        <v>83</v>
      </c>
      <c r="D7" s="15" t="s">
        <v>84</v>
      </c>
      <c r="E7" s="15" t="s">
        <v>85</v>
      </c>
      <c r="F7" s="15" t="s">
        <v>86</v>
      </c>
      <c r="G7" s="15" t="s">
        <v>87</v>
      </c>
      <c r="H7" s="15" t="s">
        <v>88</v>
      </c>
      <c r="I7" s="16" t="s">
        <v>49</v>
      </c>
      <c r="J7" s="16" t="s">
        <v>50</v>
      </c>
      <c r="K7" s="16"/>
      <c r="L7" s="17"/>
      <c r="M7" s="18"/>
    </row>
    <row r="8" customFormat="false" ht="35.05" hidden="false" customHeight="false" outlineLevel="0" collapsed="false">
      <c r="A8" s="9" t="s">
        <v>89</v>
      </c>
      <c r="B8" s="10" t="s">
        <v>90</v>
      </c>
      <c r="C8" s="10" t="s">
        <v>91</v>
      </c>
      <c r="D8" s="10" t="s">
        <v>92</v>
      </c>
      <c r="E8" s="10" t="s">
        <v>93</v>
      </c>
      <c r="F8" s="10" t="s">
        <v>94</v>
      </c>
      <c r="G8" s="10" t="s">
        <v>95</v>
      </c>
      <c r="H8" s="10" t="s">
        <v>96</v>
      </c>
      <c r="I8" s="11" t="s">
        <v>49</v>
      </c>
      <c r="J8" s="11" t="s">
        <v>50</v>
      </c>
      <c r="K8" s="11"/>
      <c r="L8" s="12"/>
      <c r="M8" s="13"/>
    </row>
    <row r="9" customFormat="false" ht="23.85" hidden="false" customHeight="false" outlineLevel="0" collapsed="false">
      <c r="A9" s="14" t="s">
        <v>97</v>
      </c>
      <c r="B9" s="15" t="s">
        <v>90</v>
      </c>
      <c r="C9" s="15" t="s">
        <v>98</v>
      </c>
      <c r="D9" s="15" t="s">
        <v>99</v>
      </c>
      <c r="E9" s="15" t="s">
        <v>100</v>
      </c>
      <c r="F9" s="15" t="s">
        <v>101</v>
      </c>
      <c r="G9" s="15" t="s">
        <v>102</v>
      </c>
      <c r="H9" s="15" t="s">
        <v>103</v>
      </c>
      <c r="I9" s="16" t="s">
        <v>49</v>
      </c>
      <c r="J9" s="16" t="s">
        <v>50</v>
      </c>
      <c r="K9" s="16"/>
      <c r="L9" s="17"/>
      <c r="M9" s="18"/>
    </row>
    <row r="10" customFormat="false" ht="23.85" hidden="false" customHeight="false" outlineLevel="0" collapsed="false">
      <c r="A10" s="9" t="s">
        <v>104</v>
      </c>
      <c r="B10" s="10" t="s">
        <v>90</v>
      </c>
      <c r="C10" s="10" t="s">
        <v>105</v>
      </c>
      <c r="D10" s="10" t="s">
        <v>106</v>
      </c>
      <c r="E10" s="10" t="s">
        <v>100</v>
      </c>
      <c r="F10" s="10" t="s">
        <v>107</v>
      </c>
      <c r="G10" s="10" t="s">
        <v>108</v>
      </c>
      <c r="H10" s="10" t="s">
        <v>109</v>
      </c>
      <c r="I10" s="11" t="s">
        <v>49</v>
      </c>
      <c r="J10" s="11" t="s">
        <v>50</v>
      </c>
      <c r="K10" s="11"/>
      <c r="L10" s="12"/>
      <c r="M10" s="13"/>
    </row>
    <row r="11" customFormat="false" ht="23.85" hidden="false" customHeight="false" outlineLevel="0" collapsed="false">
      <c r="A11" s="14" t="s">
        <v>110</v>
      </c>
      <c r="B11" s="15" t="s">
        <v>90</v>
      </c>
      <c r="C11" s="15" t="s">
        <v>111</v>
      </c>
      <c r="D11" s="15" t="s">
        <v>112</v>
      </c>
      <c r="E11" s="15" t="s">
        <v>113</v>
      </c>
      <c r="F11" s="15" t="s">
        <v>114</v>
      </c>
      <c r="G11" s="15" t="s">
        <v>115</v>
      </c>
      <c r="H11" s="15" t="s">
        <v>116</v>
      </c>
      <c r="I11" s="16" t="s">
        <v>49</v>
      </c>
      <c r="J11" s="16" t="s">
        <v>66</v>
      </c>
      <c r="K11" s="16"/>
      <c r="L11" s="17"/>
      <c r="M11" s="18"/>
    </row>
    <row r="12" customFormat="false" ht="23.85" hidden="false" customHeight="false" outlineLevel="0" collapsed="false">
      <c r="A12" s="9" t="s">
        <v>117</v>
      </c>
      <c r="B12" s="10" t="s">
        <v>90</v>
      </c>
      <c r="C12" s="10" t="s">
        <v>118</v>
      </c>
      <c r="D12" s="10" t="s">
        <v>119</v>
      </c>
      <c r="E12" s="10" t="s">
        <v>120</v>
      </c>
      <c r="F12" s="10" t="s">
        <v>121</v>
      </c>
      <c r="G12" s="10" t="s">
        <v>122</v>
      </c>
      <c r="H12" s="10" t="s">
        <v>123</v>
      </c>
      <c r="I12" s="11" t="s">
        <v>49</v>
      </c>
      <c r="J12" s="11" t="s">
        <v>66</v>
      </c>
      <c r="K12" s="11"/>
      <c r="L12" s="12"/>
      <c r="M12" s="13"/>
    </row>
    <row r="13" customFormat="false" ht="23.85" hidden="false" customHeight="false" outlineLevel="0" collapsed="false">
      <c r="A13" s="14" t="s">
        <v>124</v>
      </c>
      <c r="B13" s="15" t="s">
        <v>90</v>
      </c>
      <c r="C13" s="15" t="s">
        <v>125</v>
      </c>
      <c r="D13" s="15" t="s">
        <v>126</v>
      </c>
      <c r="E13" s="15" t="s">
        <v>127</v>
      </c>
      <c r="F13" s="15" t="s">
        <v>128</v>
      </c>
      <c r="G13" s="15" t="s">
        <v>129</v>
      </c>
      <c r="H13" s="15" t="s">
        <v>130</v>
      </c>
      <c r="I13" s="16" t="s">
        <v>65</v>
      </c>
      <c r="J13" s="16" t="s">
        <v>50</v>
      </c>
      <c r="K13" s="16"/>
      <c r="L13" s="17"/>
      <c r="M13" s="18"/>
    </row>
    <row r="14" customFormat="false" ht="23.85" hidden="false" customHeight="false" outlineLevel="0" collapsed="false">
      <c r="A14" s="9" t="s">
        <v>131</v>
      </c>
      <c r="B14" s="10" t="s">
        <v>132</v>
      </c>
      <c r="C14" s="10" t="s">
        <v>133</v>
      </c>
      <c r="D14" s="10" t="s">
        <v>134</v>
      </c>
      <c r="E14" s="10" t="s">
        <v>135</v>
      </c>
      <c r="F14" s="10" t="s">
        <v>136</v>
      </c>
      <c r="G14" s="10" t="s">
        <v>63</v>
      </c>
      <c r="H14" s="10" t="s">
        <v>137</v>
      </c>
      <c r="I14" s="11" t="s">
        <v>65</v>
      </c>
      <c r="J14" s="11" t="s">
        <v>50</v>
      </c>
      <c r="K14" s="11"/>
      <c r="L14" s="12"/>
      <c r="M14" s="13"/>
    </row>
    <row r="15" customFormat="false" ht="23.85" hidden="false" customHeight="false" outlineLevel="0" collapsed="false">
      <c r="A15" s="14" t="s">
        <v>138</v>
      </c>
      <c r="B15" s="15" t="s">
        <v>132</v>
      </c>
      <c r="C15" s="15" t="s">
        <v>139</v>
      </c>
      <c r="D15" s="15" t="s">
        <v>140</v>
      </c>
      <c r="E15" s="15" t="s">
        <v>141</v>
      </c>
      <c r="F15" s="15" t="s">
        <v>142</v>
      </c>
      <c r="G15" s="15" t="s">
        <v>143</v>
      </c>
      <c r="H15" s="15" t="s">
        <v>144</v>
      </c>
      <c r="I15" s="16" t="s">
        <v>65</v>
      </c>
      <c r="J15" s="16" t="s">
        <v>50</v>
      </c>
      <c r="K15" s="16"/>
      <c r="L15" s="17"/>
      <c r="M15" s="18"/>
    </row>
    <row r="16" customFormat="false" ht="23.85" hidden="false" customHeight="false" outlineLevel="0" collapsed="false">
      <c r="A16" s="9" t="s">
        <v>145</v>
      </c>
      <c r="B16" s="10" t="s">
        <v>132</v>
      </c>
      <c r="C16" s="10" t="s">
        <v>146</v>
      </c>
      <c r="D16" s="10" t="s">
        <v>147</v>
      </c>
      <c r="E16" s="10" t="s">
        <v>148</v>
      </c>
      <c r="F16" s="10" t="s">
        <v>149</v>
      </c>
      <c r="G16" s="10" t="s">
        <v>63</v>
      </c>
      <c r="H16" s="10" t="s">
        <v>150</v>
      </c>
      <c r="I16" s="11" t="s">
        <v>65</v>
      </c>
      <c r="J16" s="11" t="s">
        <v>50</v>
      </c>
      <c r="K16" s="11"/>
      <c r="L16" s="12"/>
      <c r="M16" s="13"/>
    </row>
    <row r="17" customFormat="false" ht="46.25" hidden="false" customHeight="false" outlineLevel="0" collapsed="false">
      <c r="A17" s="14" t="s">
        <v>151</v>
      </c>
      <c r="B17" s="15" t="s">
        <v>152</v>
      </c>
      <c r="C17" s="15" t="s">
        <v>153</v>
      </c>
      <c r="D17" s="15" t="s">
        <v>154</v>
      </c>
      <c r="E17" s="15" t="s">
        <v>155</v>
      </c>
      <c r="F17" s="15" t="s">
        <v>156</v>
      </c>
      <c r="G17" s="15" t="s">
        <v>157</v>
      </c>
      <c r="H17" s="15" t="s">
        <v>158</v>
      </c>
      <c r="I17" s="16" t="s">
        <v>65</v>
      </c>
      <c r="J17" s="16" t="s">
        <v>50</v>
      </c>
      <c r="K17" s="16"/>
      <c r="L17" s="17"/>
      <c r="M17" s="18"/>
    </row>
    <row r="18" customFormat="false" ht="23.85" hidden="false" customHeight="false" outlineLevel="0" collapsed="false">
      <c r="A18" s="9" t="s">
        <v>159</v>
      </c>
      <c r="B18" s="10" t="s">
        <v>152</v>
      </c>
      <c r="C18" s="10" t="s">
        <v>160</v>
      </c>
      <c r="D18" s="10" t="s">
        <v>161</v>
      </c>
      <c r="E18" s="10" t="s">
        <v>162</v>
      </c>
      <c r="F18" s="10" t="s">
        <v>163</v>
      </c>
      <c r="G18" s="10" t="s">
        <v>164</v>
      </c>
      <c r="H18" s="10" t="s">
        <v>165</v>
      </c>
      <c r="I18" s="11" t="s">
        <v>65</v>
      </c>
      <c r="J18" s="11" t="s">
        <v>50</v>
      </c>
      <c r="K18" s="11"/>
      <c r="L18" s="12"/>
      <c r="M18" s="13"/>
    </row>
    <row r="19" customFormat="false" ht="23.85" hidden="false" customHeight="false" outlineLevel="0" collapsed="false">
      <c r="A19" s="14" t="s">
        <v>166</v>
      </c>
      <c r="B19" s="15" t="s">
        <v>167</v>
      </c>
      <c r="C19" s="15" t="s">
        <v>168</v>
      </c>
      <c r="D19" s="15" t="s">
        <v>169</v>
      </c>
      <c r="E19" s="15" t="s">
        <v>170</v>
      </c>
      <c r="F19" s="15" t="s">
        <v>171</v>
      </c>
      <c r="G19" s="15" t="s">
        <v>172</v>
      </c>
      <c r="H19" s="15" t="s">
        <v>173</v>
      </c>
      <c r="I19" s="16" t="s">
        <v>49</v>
      </c>
      <c r="J19" s="16" t="s">
        <v>174</v>
      </c>
      <c r="K19" s="16"/>
      <c r="L19" s="17"/>
      <c r="M19" s="18"/>
    </row>
    <row r="20" customFormat="false" ht="23.85" hidden="false" customHeight="false" outlineLevel="0" collapsed="false">
      <c r="A20" s="9" t="s">
        <v>175</v>
      </c>
      <c r="B20" s="10" t="s">
        <v>167</v>
      </c>
      <c r="C20" s="10" t="s">
        <v>176</v>
      </c>
      <c r="D20" s="10" t="s">
        <v>177</v>
      </c>
      <c r="E20" s="10" t="s">
        <v>178</v>
      </c>
      <c r="F20" s="10" t="s">
        <v>179</v>
      </c>
      <c r="G20" s="10" t="s">
        <v>180</v>
      </c>
      <c r="H20" s="10" t="s">
        <v>181</v>
      </c>
      <c r="I20" s="11" t="s">
        <v>49</v>
      </c>
      <c r="J20" s="11" t="s">
        <v>66</v>
      </c>
      <c r="K20" s="11"/>
      <c r="L20" s="12"/>
      <c r="M20" s="13"/>
    </row>
    <row r="21" customFormat="false" ht="23.85" hidden="false" customHeight="false" outlineLevel="0" collapsed="false">
      <c r="A21" s="14" t="s">
        <v>182</v>
      </c>
      <c r="B21" s="15" t="s">
        <v>183</v>
      </c>
      <c r="C21" s="15" t="s">
        <v>184</v>
      </c>
      <c r="D21" s="15" t="s">
        <v>185</v>
      </c>
      <c r="E21" s="15" t="s">
        <v>186</v>
      </c>
      <c r="F21" s="15" t="s">
        <v>187</v>
      </c>
      <c r="G21" s="15" t="s">
        <v>188</v>
      </c>
      <c r="H21" s="15" t="s">
        <v>189</v>
      </c>
      <c r="I21" s="16" t="s">
        <v>49</v>
      </c>
      <c r="J21" s="16" t="s">
        <v>66</v>
      </c>
      <c r="K21" s="16"/>
      <c r="L21" s="17"/>
      <c r="M21" s="18"/>
    </row>
    <row r="22" customFormat="false" ht="23.85" hidden="false" customHeight="false" outlineLevel="0" collapsed="false">
      <c r="A22" s="9" t="s">
        <v>190</v>
      </c>
      <c r="B22" s="10" t="s">
        <v>183</v>
      </c>
      <c r="C22" s="10" t="s">
        <v>191</v>
      </c>
      <c r="D22" s="10" t="s">
        <v>192</v>
      </c>
      <c r="E22" s="10" t="s">
        <v>193</v>
      </c>
      <c r="F22" s="10" t="s">
        <v>194</v>
      </c>
      <c r="G22" s="10" t="s">
        <v>63</v>
      </c>
      <c r="H22" s="10" t="s">
        <v>195</v>
      </c>
      <c r="I22" s="11" t="s">
        <v>196</v>
      </c>
      <c r="J22" s="11" t="s">
        <v>50</v>
      </c>
      <c r="K22" s="11"/>
      <c r="L22" s="12"/>
      <c r="M22" s="13"/>
    </row>
    <row r="23" customFormat="false" ht="23.85" hidden="false" customHeight="false" outlineLevel="0" collapsed="false">
      <c r="A23" s="14" t="s">
        <v>197</v>
      </c>
      <c r="B23" s="15" t="s">
        <v>66</v>
      </c>
      <c r="C23" s="15" t="s">
        <v>198</v>
      </c>
      <c r="D23" s="15" t="s">
        <v>199</v>
      </c>
      <c r="E23" s="15" t="s">
        <v>200</v>
      </c>
      <c r="F23" s="15" t="s">
        <v>201</v>
      </c>
      <c r="G23" s="15" t="s">
        <v>63</v>
      </c>
      <c r="H23" s="15" t="s">
        <v>202</v>
      </c>
      <c r="I23" s="16" t="s">
        <v>49</v>
      </c>
      <c r="J23" s="16" t="s">
        <v>66</v>
      </c>
      <c r="K23" s="16"/>
      <c r="L23" s="17"/>
      <c r="M23" s="18"/>
    </row>
    <row r="24" customFormat="false" ht="23.85" hidden="false" customHeight="false" outlineLevel="0" collapsed="false">
      <c r="A24" s="9" t="s">
        <v>203</v>
      </c>
      <c r="B24" s="10" t="s">
        <v>66</v>
      </c>
      <c r="C24" s="10" t="s">
        <v>204</v>
      </c>
      <c r="D24" s="10" t="s">
        <v>205</v>
      </c>
      <c r="E24" s="10" t="s">
        <v>206</v>
      </c>
      <c r="F24" s="10" t="s">
        <v>207</v>
      </c>
      <c r="G24" s="10" t="s">
        <v>63</v>
      </c>
      <c r="H24" s="10" t="s">
        <v>208</v>
      </c>
      <c r="I24" s="11" t="s">
        <v>65</v>
      </c>
      <c r="J24" s="11" t="s">
        <v>66</v>
      </c>
      <c r="K24" s="11"/>
      <c r="L24" s="12"/>
      <c r="M24" s="13"/>
    </row>
  </sheetData>
  <autoFilter ref="A1:M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6" t="s">
        <v>29</v>
      </c>
      <c r="B1" s="6" t="s">
        <v>19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</row>
    <row r="2" customFormat="false" ht="23.85" hidden="false" customHeight="false" outlineLevel="0" collapsed="false">
      <c r="A2" s="9" t="s">
        <v>209</v>
      </c>
      <c r="B2" s="10" t="s">
        <v>210</v>
      </c>
      <c r="C2" s="10" t="s">
        <v>211</v>
      </c>
      <c r="D2" s="10" t="s">
        <v>212</v>
      </c>
      <c r="E2" s="10" t="s">
        <v>213</v>
      </c>
      <c r="F2" s="10" t="s">
        <v>214</v>
      </c>
      <c r="G2" s="10" t="s">
        <v>215</v>
      </c>
      <c r="H2" s="10" t="s">
        <v>216</v>
      </c>
      <c r="I2" s="11" t="s">
        <v>49</v>
      </c>
      <c r="J2" s="11" t="s">
        <v>50</v>
      </c>
      <c r="K2" s="11"/>
      <c r="L2" s="12"/>
      <c r="M2" s="13"/>
    </row>
    <row r="3" customFormat="false" ht="23.85" hidden="false" customHeight="false" outlineLevel="0" collapsed="false">
      <c r="A3" s="14" t="s">
        <v>217</v>
      </c>
      <c r="B3" s="15" t="s">
        <v>210</v>
      </c>
      <c r="C3" s="15" t="s">
        <v>218</v>
      </c>
      <c r="D3" s="15" t="s">
        <v>219</v>
      </c>
      <c r="E3" s="15" t="s">
        <v>220</v>
      </c>
      <c r="F3" s="15" t="s">
        <v>221</v>
      </c>
      <c r="G3" s="15" t="s">
        <v>222</v>
      </c>
      <c r="H3" s="15" t="s">
        <v>223</v>
      </c>
      <c r="I3" s="16" t="s">
        <v>65</v>
      </c>
      <c r="J3" s="16" t="s">
        <v>50</v>
      </c>
      <c r="K3" s="16"/>
      <c r="L3" s="17"/>
      <c r="M3" s="18"/>
    </row>
    <row r="4" customFormat="false" ht="23.85" hidden="false" customHeight="false" outlineLevel="0" collapsed="false">
      <c r="A4" s="9" t="s">
        <v>224</v>
      </c>
      <c r="B4" s="10" t="s">
        <v>210</v>
      </c>
      <c r="C4" s="10" t="s">
        <v>225</v>
      </c>
      <c r="D4" s="10" t="s">
        <v>226</v>
      </c>
      <c r="E4" s="10" t="s">
        <v>227</v>
      </c>
      <c r="F4" s="10" t="s">
        <v>228</v>
      </c>
      <c r="G4" s="10" t="s">
        <v>229</v>
      </c>
      <c r="H4" s="10" t="s">
        <v>230</v>
      </c>
      <c r="I4" s="11" t="s">
        <v>49</v>
      </c>
      <c r="J4" s="11" t="s">
        <v>50</v>
      </c>
      <c r="K4" s="11" t="s">
        <v>231</v>
      </c>
      <c r="L4" s="12"/>
      <c r="M4" s="13"/>
    </row>
    <row r="5" customFormat="false" ht="23.85" hidden="false" customHeight="false" outlineLevel="0" collapsed="false">
      <c r="A5" s="14" t="s">
        <v>232</v>
      </c>
      <c r="B5" s="15" t="s">
        <v>210</v>
      </c>
      <c r="C5" s="15" t="s">
        <v>233</v>
      </c>
      <c r="D5" s="15" t="s">
        <v>234</v>
      </c>
      <c r="E5" s="15" t="s">
        <v>235</v>
      </c>
      <c r="F5" s="15" t="s">
        <v>236</v>
      </c>
      <c r="G5" s="15" t="s">
        <v>63</v>
      </c>
      <c r="H5" s="15" t="s">
        <v>237</v>
      </c>
      <c r="I5" s="16" t="s">
        <v>49</v>
      </c>
      <c r="J5" s="16" t="s">
        <v>66</v>
      </c>
      <c r="K5" s="16" t="s">
        <v>231</v>
      </c>
      <c r="L5" s="17"/>
      <c r="M5" s="18"/>
    </row>
    <row r="6" customFormat="false" ht="35.05" hidden="false" customHeight="false" outlineLevel="0" collapsed="false">
      <c r="A6" s="9" t="s">
        <v>238</v>
      </c>
      <c r="B6" s="10" t="s">
        <v>210</v>
      </c>
      <c r="C6" s="10" t="s">
        <v>239</v>
      </c>
      <c r="D6" s="10" t="s">
        <v>240</v>
      </c>
      <c r="E6" s="10" t="s">
        <v>241</v>
      </c>
      <c r="F6" s="10" t="s">
        <v>242</v>
      </c>
      <c r="G6" s="10" t="s">
        <v>63</v>
      </c>
      <c r="H6" s="10" t="s">
        <v>243</v>
      </c>
      <c r="I6" s="11" t="s">
        <v>65</v>
      </c>
      <c r="J6" s="11" t="s">
        <v>50</v>
      </c>
      <c r="K6" s="11" t="s">
        <v>231</v>
      </c>
      <c r="L6" s="12"/>
      <c r="M6" s="13"/>
    </row>
    <row r="7" customFormat="false" ht="23.85" hidden="false" customHeight="false" outlineLevel="0" collapsed="false">
      <c r="A7" s="14" t="s">
        <v>244</v>
      </c>
      <c r="B7" s="15" t="s">
        <v>210</v>
      </c>
      <c r="C7" s="15" t="s">
        <v>245</v>
      </c>
      <c r="D7" s="15" t="s">
        <v>246</v>
      </c>
      <c r="E7" s="15" t="s">
        <v>247</v>
      </c>
      <c r="F7" s="15" t="s">
        <v>248</v>
      </c>
      <c r="G7" s="15" t="s">
        <v>63</v>
      </c>
      <c r="H7" s="15" t="s">
        <v>249</v>
      </c>
      <c r="I7" s="16" t="s">
        <v>65</v>
      </c>
      <c r="J7" s="16" t="s">
        <v>50</v>
      </c>
      <c r="K7" s="16" t="s">
        <v>231</v>
      </c>
      <c r="L7" s="17"/>
      <c r="M7" s="18"/>
    </row>
    <row r="8" customFormat="false" ht="23.85" hidden="false" customHeight="false" outlineLevel="0" collapsed="false">
      <c r="A8" s="9" t="s">
        <v>250</v>
      </c>
      <c r="B8" s="10" t="s">
        <v>251</v>
      </c>
      <c r="C8" s="10" t="s">
        <v>252</v>
      </c>
      <c r="D8" s="10" t="s">
        <v>253</v>
      </c>
      <c r="E8" s="10" t="s">
        <v>254</v>
      </c>
      <c r="F8" s="10" t="s">
        <v>255</v>
      </c>
      <c r="G8" s="10" t="s">
        <v>256</v>
      </c>
      <c r="H8" s="10" t="s">
        <v>257</v>
      </c>
      <c r="I8" s="11" t="s">
        <v>49</v>
      </c>
      <c r="J8" s="11" t="s">
        <v>50</v>
      </c>
      <c r="K8" s="11"/>
      <c r="L8" s="12"/>
      <c r="M8" s="13"/>
    </row>
    <row r="9" customFormat="false" ht="23.85" hidden="false" customHeight="false" outlineLevel="0" collapsed="false">
      <c r="A9" s="14" t="s">
        <v>258</v>
      </c>
      <c r="B9" s="15" t="s">
        <v>251</v>
      </c>
      <c r="C9" s="15" t="s">
        <v>259</v>
      </c>
      <c r="D9" s="15" t="s">
        <v>260</v>
      </c>
      <c r="E9" s="15" t="s">
        <v>261</v>
      </c>
      <c r="F9" s="15" t="s">
        <v>262</v>
      </c>
      <c r="G9" s="15" t="s">
        <v>63</v>
      </c>
      <c r="H9" s="15" t="s">
        <v>263</v>
      </c>
      <c r="I9" s="16" t="s">
        <v>65</v>
      </c>
      <c r="J9" s="16" t="s">
        <v>50</v>
      </c>
      <c r="K9" s="16"/>
      <c r="L9" s="17"/>
      <c r="M9" s="18"/>
    </row>
    <row r="10" customFormat="false" ht="15" hidden="false" customHeight="false" outlineLevel="0" collapsed="false">
      <c r="A10" s="9" t="s">
        <v>264</v>
      </c>
      <c r="B10" s="10" t="s">
        <v>251</v>
      </c>
      <c r="C10" s="10" t="s">
        <v>265</v>
      </c>
      <c r="D10" s="10" t="s">
        <v>266</v>
      </c>
      <c r="E10" s="10" t="s">
        <v>267</v>
      </c>
      <c r="F10" s="10" t="s">
        <v>268</v>
      </c>
      <c r="G10" s="10" t="s">
        <v>63</v>
      </c>
      <c r="H10" s="10" t="s">
        <v>269</v>
      </c>
      <c r="I10" s="11" t="s">
        <v>65</v>
      </c>
      <c r="J10" s="11" t="s">
        <v>50</v>
      </c>
      <c r="K10" s="11"/>
      <c r="L10" s="12"/>
      <c r="M10" s="13"/>
    </row>
    <row r="11" customFormat="false" ht="23.85" hidden="false" customHeight="false" outlineLevel="0" collapsed="false">
      <c r="A11" s="14" t="s">
        <v>270</v>
      </c>
      <c r="B11" s="15" t="s">
        <v>271</v>
      </c>
      <c r="C11" s="15" t="s">
        <v>272</v>
      </c>
      <c r="D11" s="15" t="s">
        <v>273</v>
      </c>
      <c r="E11" s="15" t="s">
        <v>274</v>
      </c>
      <c r="F11" s="15" t="s">
        <v>275</v>
      </c>
      <c r="G11" s="15" t="s">
        <v>276</v>
      </c>
      <c r="H11" s="15" t="s">
        <v>277</v>
      </c>
      <c r="I11" s="16" t="s">
        <v>49</v>
      </c>
      <c r="J11" s="16" t="s">
        <v>50</v>
      </c>
      <c r="K11" s="16"/>
      <c r="L11" s="17"/>
      <c r="M11" s="18"/>
    </row>
    <row r="12" customFormat="false" ht="23.85" hidden="false" customHeight="false" outlineLevel="0" collapsed="false">
      <c r="A12" s="9" t="s">
        <v>278</v>
      </c>
      <c r="B12" s="10" t="s">
        <v>271</v>
      </c>
      <c r="C12" s="10" t="s">
        <v>279</v>
      </c>
      <c r="D12" s="10" t="s">
        <v>280</v>
      </c>
      <c r="E12" s="10" t="s">
        <v>281</v>
      </c>
      <c r="F12" s="10" t="s">
        <v>282</v>
      </c>
      <c r="G12" s="10" t="s">
        <v>283</v>
      </c>
      <c r="H12" s="10" t="s">
        <v>284</v>
      </c>
      <c r="I12" s="11" t="s">
        <v>65</v>
      </c>
      <c r="J12" s="11" t="s">
        <v>50</v>
      </c>
      <c r="K12" s="11"/>
      <c r="L12" s="12"/>
      <c r="M12" s="13"/>
    </row>
    <row r="13" customFormat="false" ht="35.05" hidden="false" customHeight="false" outlineLevel="0" collapsed="false">
      <c r="A13" s="14" t="s">
        <v>285</v>
      </c>
      <c r="B13" s="15" t="s">
        <v>271</v>
      </c>
      <c r="C13" s="15" t="s">
        <v>286</v>
      </c>
      <c r="D13" s="15" t="s">
        <v>287</v>
      </c>
      <c r="E13" s="15" t="s">
        <v>288</v>
      </c>
      <c r="F13" s="15" t="s">
        <v>289</v>
      </c>
      <c r="G13" s="15" t="s">
        <v>63</v>
      </c>
      <c r="H13" s="15" t="s">
        <v>290</v>
      </c>
      <c r="I13" s="16" t="s">
        <v>65</v>
      </c>
      <c r="J13" s="16" t="s">
        <v>50</v>
      </c>
      <c r="K13" s="16"/>
      <c r="L13" s="17"/>
      <c r="M13" s="18"/>
    </row>
    <row r="14" customFormat="false" ht="23.85" hidden="false" customHeight="false" outlineLevel="0" collapsed="false">
      <c r="A14" s="9" t="s">
        <v>291</v>
      </c>
      <c r="B14" s="10" t="s">
        <v>271</v>
      </c>
      <c r="C14" s="10" t="s">
        <v>292</v>
      </c>
      <c r="D14" s="10" t="s">
        <v>293</v>
      </c>
      <c r="E14" s="10" t="s">
        <v>294</v>
      </c>
      <c r="F14" s="10" t="s">
        <v>295</v>
      </c>
      <c r="G14" s="10" t="s">
        <v>296</v>
      </c>
      <c r="H14" s="10" t="s">
        <v>297</v>
      </c>
      <c r="I14" s="11" t="s">
        <v>65</v>
      </c>
      <c r="J14" s="11" t="s">
        <v>50</v>
      </c>
      <c r="K14" s="11"/>
      <c r="L14" s="12"/>
      <c r="M14" s="13"/>
    </row>
    <row r="15" customFormat="false" ht="35.05" hidden="false" customHeight="false" outlineLevel="0" collapsed="false">
      <c r="A15" s="14" t="s">
        <v>298</v>
      </c>
      <c r="B15" s="15" t="s">
        <v>299</v>
      </c>
      <c r="C15" s="15" t="s">
        <v>300</v>
      </c>
      <c r="D15" s="15" t="s">
        <v>301</v>
      </c>
      <c r="E15" s="15" t="s">
        <v>247</v>
      </c>
      <c r="F15" s="15" t="s">
        <v>302</v>
      </c>
      <c r="G15" s="15" t="s">
        <v>63</v>
      </c>
      <c r="H15" s="15" t="s">
        <v>303</v>
      </c>
      <c r="I15" s="16" t="s">
        <v>65</v>
      </c>
      <c r="J15" s="16" t="s">
        <v>50</v>
      </c>
      <c r="K15" s="16"/>
      <c r="L15" s="17"/>
      <c r="M15" s="18"/>
    </row>
    <row r="16" customFormat="false" ht="23.85" hidden="false" customHeight="false" outlineLevel="0" collapsed="false">
      <c r="A16" s="9" t="s">
        <v>304</v>
      </c>
      <c r="B16" s="10" t="s">
        <v>299</v>
      </c>
      <c r="C16" s="10" t="s">
        <v>305</v>
      </c>
      <c r="D16" s="10" t="s">
        <v>306</v>
      </c>
      <c r="E16" s="10" t="s">
        <v>307</v>
      </c>
      <c r="F16" s="10" t="s">
        <v>308</v>
      </c>
      <c r="G16" s="10" t="s">
        <v>309</v>
      </c>
      <c r="H16" s="10" t="s">
        <v>310</v>
      </c>
      <c r="I16" s="11" t="s">
        <v>65</v>
      </c>
      <c r="J16" s="11" t="s">
        <v>50</v>
      </c>
      <c r="K16" s="11"/>
      <c r="L16" s="12"/>
      <c r="M16" s="13"/>
    </row>
    <row r="17" customFormat="false" ht="23.85" hidden="false" customHeight="false" outlineLevel="0" collapsed="false">
      <c r="A17" s="14" t="s">
        <v>311</v>
      </c>
      <c r="B17" s="15" t="s">
        <v>312</v>
      </c>
      <c r="C17" s="15" t="s">
        <v>313</v>
      </c>
      <c r="D17" s="15" t="s">
        <v>314</v>
      </c>
      <c r="E17" s="15" t="s">
        <v>315</v>
      </c>
      <c r="F17" s="15" t="s">
        <v>316</v>
      </c>
      <c r="G17" s="15" t="s">
        <v>317</v>
      </c>
      <c r="H17" s="15" t="s">
        <v>318</v>
      </c>
      <c r="I17" s="16" t="s">
        <v>65</v>
      </c>
      <c r="J17" s="16" t="s">
        <v>50</v>
      </c>
      <c r="K17" s="16"/>
      <c r="L17" s="17"/>
      <c r="M17" s="18"/>
    </row>
    <row r="18" customFormat="false" ht="23.85" hidden="false" customHeight="false" outlineLevel="0" collapsed="false">
      <c r="A18" s="9" t="s">
        <v>319</v>
      </c>
      <c r="B18" s="10" t="s">
        <v>320</v>
      </c>
      <c r="C18" s="10" t="s">
        <v>321</v>
      </c>
      <c r="D18" s="10" t="s">
        <v>322</v>
      </c>
      <c r="E18" s="10" t="s">
        <v>323</v>
      </c>
      <c r="F18" s="10" t="s">
        <v>324</v>
      </c>
      <c r="G18" s="10" t="s">
        <v>63</v>
      </c>
      <c r="H18" s="10" t="s">
        <v>325</v>
      </c>
      <c r="I18" s="11" t="s">
        <v>49</v>
      </c>
      <c r="J18" s="11" t="s">
        <v>50</v>
      </c>
      <c r="K18" s="11"/>
      <c r="L18" s="12"/>
      <c r="M18" s="13"/>
    </row>
    <row r="19" customFormat="false" ht="23.85" hidden="false" customHeight="false" outlineLevel="0" collapsed="false">
      <c r="A19" s="14" t="s">
        <v>326</v>
      </c>
      <c r="B19" s="15" t="s">
        <v>320</v>
      </c>
      <c r="C19" s="15" t="s">
        <v>327</v>
      </c>
      <c r="D19" s="15" t="s">
        <v>328</v>
      </c>
      <c r="E19" s="15" t="s">
        <v>329</v>
      </c>
      <c r="F19" s="15" t="s">
        <v>330</v>
      </c>
      <c r="G19" s="15" t="s">
        <v>63</v>
      </c>
      <c r="H19" s="15" t="s">
        <v>331</v>
      </c>
      <c r="I19" s="16" t="s">
        <v>49</v>
      </c>
      <c r="J19" s="16" t="s">
        <v>50</v>
      </c>
      <c r="K19" s="16" t="s">
        <v>332</v>
      </c>
      <c r="L19" s="17"/>
      <c r="M19" s="18"/>
    </row>
    <row r="20" customFormat="false" ht="23.85" hidden="false" customHeight="false" outlineLevel="0" collapsed="false">
      <c r="A20" s="9" t="s">
        <v>333</v>
      </c>
      <c r="B20" s="10" t="s">
        <v>320</v>
      </c>
      <c r="C20" s="10" t="s">
        <v>334</v>
      </c>
      <c r="D20" s="10" t="s">
        <v>335</v>
      </c>
      <c r="E20" s="10" t="s">
        <v>336</v>
      </c>
      <c r="F20" s="10" t="s">
        <v>337</v>
      </c>
      <c r="G20" s="10" t="s">
        <v>338</v>
      </c>
      <c r="H20" s="10" t="s">
        <v>339</v>
      </c>
      <c r="I20" s="11" t="s">
        <v>65</v>
      </c>
      <c r="J20" s="11" t="s">
        <v>50</v>
      </c>
      <c r="K20" s="11"/>
      <c r="L20" s="12"/>
      <c r="M20" s="13"/>
    </row>
    <row r="21" customFormat="false" ht="23.85" hidden="false" customHeight="false" outlineLevel="0" collapsed="false">
      <c r="A21" s="14" t="s">
        <v>340</v>
      </c>
      <c r="B21" s="15" t="s">
        <v>341</v>
      </c>
      <c r="C21" s="15" t="s">
        <v>342</v>
      </c>
      <c r="D21" s="15" t="s">
        <v>343</v>
      </c>
      <c r="E21" s="15" t="s">
        <v>344</v>
      </c>
      <c r="F21" s="15" t="s">
        <v>345</v>
      </c>
      <c r="G21" s="15" t="s">
        <v>63</v>
      </c>
      <c r="H21" s="15" t="s">
        <v>346</v>
      </c>
      <c r="I21" s="16" t="s">
        <v>65</v>
      </c>
      <c r="J21" s="16" t="s">
        <v>50</v>
      </c>
      <c r="K21" s="16" t="s">
        <v>347</v>
      </c>
      <c r="L21" s="17"/>
      <c r="M21" s="18"/>
    </row>
    <row r="22" customFormat="false" ht="23.85" hidden="false" customHeight="false" outlineLevel="0" collapsed="false">
      <c r="A22" s="9" t="s">
        <v>348</v>
      </c>
      <c r="B22" s="10" t="s">
        <v>341</v>
      </c>
      <c r="C22" s="10" t="s">
        <v>349</v>
      </c>
      <c r="D22" s="10" t="s">
        <v>350</v>
      </c>
      <c r="E22" s="10" t="s">
        <v>351</v>
      </c>
      <c r="F22" s="10" t="s">
        <v>352</v>
      </c>
      <c r="G22" s="10" t="s">
        <v>296</v>
      </c>
      <c r="H22" s="10" t="s">
        <v>353</v>
      </c>
      <c r="I22" s="11" t="s">
        <v>49</v>
      </c>
      <c r="J22" s="11" t="s">
        <v>50</v>
      </c>
      <c r="K22" s="11"/>
      <c r="L22" s="12"/>
      <c r="M22" s="13"/>
    </row>
    <row r="23" customFormat="false" ht="23.85" hidden="false" customHeight="false" outlineLevel="0" collapsed="false">
      <c r="A23" s="14" t="s">
        <v>354</v>
      </c>
      <c r="B23" s="15" t="s">
        <v>341</v>
      </c>
      <c r="C23" s="15" t="s">
        <v>355</v>
      </c>
      <c r="D23" s="15" t="s">
        <v>356</v>
      </c>
      <c r="E23" s="15" t="s">
        <v>357</v>
      </c>
      <c r="F23" s="15" t="s">
        <v>358</v>
      </c>
      <c r="G23" s="15" t="s">
        <v>359</v>
      </c>
      <c r="H23" s="15" t="s">
        <v>360</v>
      </c>
      <c r="I23" s="16" t="s">
        <v>49</v>
      </c>
      <c r="J23" s="16" t="s">
        <v>58</v>
      </c>
      <c r="K23" s="16" t="s">
        <v>361</v>
      </c>
      <c r="L23" s="17"/>
      <c r="M23" s="18"/>
    </row>
    <row r="24" customFormat="false" ht="23.85" hidden="false" customHeight="false" outlineLevel="0" collapsed="false">
      <c r="A24" s="9" t="s">
        <v>362</v>
      </c>
      <c r="B24" s="10" t="s">
        <v>341</v>
      </c>
      <c r="C24" s="10" t="s">
        <v>363</v>
      </c>
      <c r="D24" s="10" t="s">
        <v>364</v>
      </c>
      <c r="E24" s="10" t="s">
        <v>315</v>
      </c>
      <c r="F24" s="10" t="s">
        <v>365</v>
      </c>
      <c r="G24" s="10" t="s">
        <v>366</v>
      </c>
      <c r="H24" s="10" t="s">
        <v>367</v>
      </c>
      <c r="I24" s="11" t="s">
        <v>65</v>
      </c>
      <c r="J24" s="11" t="s">
        <v>50</v>
      </c>
      <c r="K24" s="11" t="s">
        <v>361</v>
      </c>
      <c r="L24" s="12"/>
      <c r="M24" s="13"/>
    </row>
    <row r="25" customFormat="false" ht="15" hidden="false" customHeight="false" outlineLevel="0" collapsed="false">
      <c r="A25" s="14" t="s">
        <v>368</v>
      </c>
      <c r="B25" s="15" t="s">
        <v>341</v>
      </c>
      <c r="C25" s="15" t="s">
        <v>369</v>
      </c>
      <c r="D25" s="15" t="s">
        <v>370</v>
      </c>
      <c r="E25" s="15" t="s">
        <v>315</v>
      </c>
      <c r="F25" s="15" t="s">
        <v>371</v>
      </c>
      <c r="G25" s="15" t="s">
        <v>63</v>
      </c>
      <c r="H25" s="15" t="s">
        <v>372</v>
      </c>
      <c r="I25" s="16" t="s">
        <v>65</v>
      </c>
      <c r="J25" s="16" t="s">
        <v>58</v>
      </c>
      <c r="K25" s="16" t="s">
        <v>361</v>
      </c>
      <c r="L25" s="17"/>
      <c r="M25" s="18"/>
    </row>
    <row r="26" customFormat="false" ht="23.85" hidden="false" customHeight="false" outlineLevel="0" collapsed="false">
      <c r="A26" s="9" t="s">
        <v>373</v>
      </c>
      <c r="B26" s="10" t="s">
        <v>374</v>
      </c>
      <c r="C26" s="10" t="s">
        <v>375</v>
      </c>
      <c r="D26" s="10" t="s">
        <v>376</v>
      </c>
      <c r="E26" s="10" t="s">
        <v>315</v>
      </c>
      <c r="F26" s="10" t="s">
        <v>377</v>
      </c>
      <c r="G26" s="10" t="s">
        <v>378</v>
      </c>
      <c r="H26" s="10" t="s">
        <v>379</v>
      </c>
      <c r="I26" s="11" t="s">
        <v>49</v>
      </c>
      <c r="J26" s="11" t="s">
        <v>50</v>
      </c>
      <c r="K26" s="11" t="s">
        <v>380</v>
      </c>
      <c r="L26" s="12"/>
      <c r="M26" s="13"/>
    </row>
    <row r="27" customFormat="false" ht="23.85" hidden="false" customHeight="false" outlineLevel="0" collapsed="false">
      <c r="A27" s="14" t="s">
        <v>381</v>
      </c>
      <c r="B27" s="15" t="s">
        <v>374</v>
      </c>
      <c r="C27" s="15" t="s">
        <v>382</v>
      </c>
      <c r="D27" s="15" t="s">
        <v>383</v>
      </c>
      <c r="E27" s="15" t="s">
        <v>384</v>
      </c>
      <c r="F27" s="15" t="s">
        <v>385</v>
      </c>
      <c r="G27" s="15" t="s">
        <v>63</v>
      </c>
      <c r="H27" s="15" t="s">
        <v>386</v>
      </c>
      <c r="I27" s="16" t="s">
        <v>49</v>
      </c>
      <c r="J27" s="16" t="s">
        <v>50</v>
      </c>
      <c r="K27" s="16" t="s">
        <v>380</v>
      </c>
      <c r="L27" s="17"/>
      <c r="M27" s="18"/>
    </row>
    <row r="28" customFormat="false" ht="23.85" hidden="false" customHeight="false" outlineLevel="0" collapsed="false">
      <c r="A28" s="9" t="s">
        <v>387</v>
      </c>
      <c r="B28" s="10" t="s">
        <v>374</v>
      </c>
      <c r="C28" s="10" t="s">
        <v>388</v>
      </c>
      <c r="D28" s="10" t="s">
        <v>389</v>
      </c>
      <c r="E28" s="10" t="s">
        <v>390</v>
      </c>
      <c r="F28" s="10" t="s">
        <v>391</v>
      </c>
      <c r="G28" s="10" t="s">
        <v>392</v>
      </c>
      <c r="H28" s="10" t="s">
        <v>393</v>
      </c>
      <c r="I28" s="11" t="s">
        <v>65</v>
      </c>
      <c r="J28" s="11" t="s">
        <v>58</v>
      </c>
      <c r="K28" s="11" t="s">
        <v>380</v>
      </c>
      <c r="L28" s="12"/>
      <c r="M28" s="13"/>
    </row>
    <row r="29" customFormat="false" ht="23.85" hidden="false" customHeight="false" outlineLevel="0" collapsed="false">
      <c r="A29" s="14" t="s">
        <v>394</v>
      </c>
      <c r="B29" s="15" t="s">
        <v>374</v>
      </c>
      <c r="C29" s="15" t="s">
        <v>395</v>
      </c>
      <c r="D29" s="15" t="s">
        <v>396</v>
      </c>
      <c r="E29" s="15" t="s">
        <v>397</v>
      </c>
      <c r="F29" s="15" t="s">
        <v>398</v>
      </c>
      <c r="G29" s="15" t="s">
        <v>399</v>
      </c>
      <c r="H29" s="15" t="s">
        <v>400</v>
      </c>
      <c r="I29" s="16" t="s">
        <v>65</v>
      </c>
      <c r="J29" s="16" t="s">
        <v>50</v>
      </c>
      <c r="K29" s="16"/>
      <c r="L29" s="17"/>
      <c r="M29" s="18"/>
    </row>
    <row r="30" customFormat="false" ht="35.05" hidden="false" customHeight="false" outlineLevel="0" collapsed="false">
      <c r="A30" s="9" t="s">
        <v>401</v>
      </c>
      <c r="B30" s="10" t="s">
        <v>374</v>
      </c>
      <c r="C30" s="10" t="s">
        <v>402</v>
      </c>
      <c r="D30" s="10" t="s">
        <v>403</v>
      </c>
      <c r="E30" s="10" t="s">
        <v>404</v>
      </c>
      <c r="F30" s="10" t="s">
        <v>405</v>
      </c>
      <c r="G30" s="10" t="s">
        <v>406</v>
      </c>
      <c r="H30" s="10" t="s">
        <v>407</v>
      </c>
      <c r="I30" s="11" t="s">
        <v>49</v>
      </c>
      <c r="J30" s="11" t="s">
        <v>50</v>
      </c>
      <c r="K30" s="11" t="s">
        <v>408</v>
      </c>
      <c r="L30" s="12"/>
      <c r="M30" s="13"/>
    </row>
    <row r="31" customFormat="false" ht="23.85" hidden="false" customHeight="false" outlineLevel="0" collapsed="false">
      <c r="A31" s="14" t="s">
        <v>409</v>
      </c>
      <c r="B31" s="15" t="s">
        <v>374</v>
      </c>
      <c r="C31" s="15" t="s">
        <v>410</v>
      </c>
      <c r="D31" s="15" t="s">
        <v>411</v>
      </c>
      <c r="E31" s="15" t="s">
        <v>412</v>
      </c>
      <c r="F31" s="15" t="s">
        <v>413</v>
      </c>
      <c r="G31" s="15" t="s">
        <v>414</v>
      </c>
      <c r="H31" s="15" t="s">
        <v>415</v>
      </c>
      <c r="I31" s="16" t="s">
        <v>65</v>
      </c>
      <c r="J31" s="16" t="s">
        <v>50</v>
      </c>
      <c r="K31" s="16" t="s">
        <v>408</v>
      </c>
      <c r="L31" s="17"/>
      <c r="M31" s="18"/>
    </row>
    <row r="32" customFormat="false" ht="35.05" hidden="false" customHeight="false" outlineLevel="0" collapsed="false">
      <c r="A32" s="9" t="s">
        <v>416</v>
      </c>
      <c r="B32" s="10" t="s">
        <v>374</v>
      </c>
      <c r="C32" s="10" t="s">
        <v>417</v>
      </c>
      <c r="D32" s="10" t="s">
        <v>418</v>
      </c>
      <c r="E32" s="10" t="s">
        <v>419</v>
      </c>
      <c r="F32" s="10" t="s">
        <v>420</v>
      </c>
      <c r="G32" s="10" t="s">
        <v>421</v>
      </c>
      <c r="H32" s="10" t="s">
        <v>422</v>
      </c>
      <c r="I32" s="11" t="s">
        <v>49</v>
      </c>
      <c r="J32" s="11" t="s">
        <v>50</v>
      </c>
      <c r="K32" s="11" t="s">
        <v>423</v>
      </c>
      <c r="L32" s="12"/>
      <c r="M32" s="13"/>
    </row>
    <row r="33" customFormat="false" ht="23.85" hidden="false" customHeight="false" outlineLevel="0" collapsed="false">
      <c r="A33" s="14" t="s">
        <v>424</v>
      </c>
      <c r="B33" s="15" t="s">
        <v>374</v>
      </c>
      <c r="C33" s="15" t="s">
        <v>425</v>
      </c>
      <c r="D33" s="15" t="s">
        <v>426</v>
      </c>
      <c r="E33" s="15" t="s">
        <v>427</v>
      </c>
      <c r="F33" s="15" t="s">
        <v>428</v>
      </c>
      <c r="G33" s="15" t="s">
        <v>296</v>
      </c>
      <c r="H33" s="15" t="s">
        <v>429</v>
      </c>
      <c r="I33" s="16" t="s">
        <v>49</v>
      </c>
      <c r="J33" s="16" t="s">
        <v>66</v>
      </c>
      <c r="K33" s="16" t="s">
        <v>430</v>
      </c>
      <c r="L33" s="17"/>
      <c r="M33" s="18"/>
    </row>
    <row r="34" customFormat="false" ht="23.85" hidden="false" customHeight="false" outlineLevel="0" collapsed="false">
      <c r="A34" s="9" t="s">
        <v>431</v>
      </c>
      <c r="B34" s="10" t="s">
        <v>432</v>
      </c>
      <c r="C34" s="10" t="s">
        <v>433</v>
      </c>
      <c r="D34" s="10" t="s">
        <v>434</v>
      </c>
      <c r="E34" s="10" t="s">
        <v>435</v>
      </c>
      <c r="F34" s="10" t="s">
        <v>436</v>
      </c>
      <c r="G34" s="10" t="s">
        <v>63</v>
      </c>
      <c r="H34" s="10" t="s">
        <v>437</v>
      </c>
      <c r="I34" s="11" t="s">
        <v>65</v>
      </c>
      <c r="J34" s="11" t="s">
        <v>50</v>
      </c>
      <c r="K34" s="11"/>
      <c r="L34" s="12"/>
      <c r="M34" s="13"/>
    </row>
    <row r="35" customFormat="false" ht="23.85" hidden="false" customHeight="false" outlineLevel="0" collapsed="false">
      <c r="A35" s="14" t="s">
        <v>438</v>
      </c>
      <c r="B35" s="15" t="s">
        <v>432</v>
      </c>
      <c r="C35" s="15" t="s">
        <v>439</v>
      </c>
      <c r="D35" s="15" t="s">
        <v>440</v>
      </c>
      <c r="E35" s="15" t="s">
        <v>441</v>
      </c>
      <c r="F35" s="15" t="s">
        <v>442</v>
      </c>
      <c r="G35" s="15" t="s">
        <v>63</v>
      </c>
      <c r="H35" s="15" t="s">
        <v>443</v>
      </c>
      <c r="I35" s="16" t="s">
        <v>49</v>
      </c>
      <c r="J35" s="16" t="s">
        <v>58</v>
      </c>
      <c r="K35" s="16" t="s">
        <v>444</v>
      </c>
      <c r="L35" s="17"/>
      <c r="M35" s="18"/>
    </row>
    <row r="36" customFormat="false" ht="35.05" hidden="false" customHeight="false" outlineLevel="0" collapsed="false">
      <c r="A36" s="9" t="s">
        <v>445</v>
      </c>
      <c r="B36" s="10" t="s">
        <v>446</v>
      </c>
      <c r="C36" s="10" t="s">
        <v>447</v>
      </c>
      <c r="D36" s="10" t="s">
        <v>448</v>
      </c>
      <c r="E36" s="10" t="s">
        <v>449</v>
      </c>
      <c r="F36" s="10" t="s">
        <v>450</v>
      </c>
      <c r="G36" s="10" t="s">
        <v>451</v>
      </c>
      <c r="H36" s="10" t="s">
        <v>452</v>
      </c>
      <c r="I36" s="11" t="s">
        <v>49</v>
      </c>
      <c r="J36" s="11" t="s">
        <v>66</v>
      </c>
      <c r="K36" s="11" t="s">
        <v>231</v>
      </c>
      <c r="L36" s="12"/>
      <c r="M36" s="13"/>
    </row>
    <row r="37" customFormat="false" ht="23.85" hidden="false" customHeight="false" outlineLevel="0" collapsed="false">
      <c r="A37" s="14" t="s">
        <v>453</v>
      </c>
      <c r="B37" s="15" t="s">
        <v>446</v>
      </c>
      <c r="C37" s="15" t="s">
        <v>454</v>
      </c>
      <c r="D37" s="15" t="s">
        <v>455</v>
      </c>
      <c r="E37" s="15" t="s">
        <v>456</v>
      </c>
      <c r="F37" s="15" t="s">
        <v>457</v>
      </c>
      <c r="G37" s="15" t="s">
        <v>63</v>
      </c>
      <c r="H37" s="15" t="s">
        <v>458</v>
      </c>
      <c r="I37" s="16" t="s">
        <v>49</v>
      </c>
      <c r="J37" s="16" t="s">
        <v>66</v>
      </c>
      <c r="K37" s="16" t="s">
        <v>231</v>
      </c>
      <c r="L37" s="17"/>
      <c r="M37" s="18"/>
    </row>
    <row r="38" customFormat="false" ht="23.85" hidden="false" customHeight="false" outlineLevel="0" collapsed="false">
      <c r="A38" s="9" t="s">
        <v>459</v>
      </c>
      <c r="B38" s="10" t="s">
        <v>446</v>
      </c>
      <c r="C38" s="10" t="s">
        <v>460</v>
      </c>
      <c r="D38" s="10" t="s">
        <v>461</v>
      </c>
      <c r="E38" s="10" t="s">
        <v>462</v>
      </c>
      <c r="F38" s="10" t="s">
        <v>463</v>
      </c>
      <c r="G38" s="10" t="s">
        <v>63</v>
      </c>
      <c r="H38" s="10" t="s">
        <v>464</v>
      </c>
      <c r="I38" s="11" t="s">
        <v>65</v>
      </c>
      <c r="J38" s="11" t="s">
        <v>465</v>
      </c>
      <c r="K38" s="11" t="s">
        <v>466</v>
      </c>
      <c r="L38" s="12"/>
      <c r="M38" s="13"/>
    </row>
    <row r="39" customFormat="false" ht="23.85" hidden="false" customHeight="false" outlineLevel="0" collapsed="false">
      <c r="A39" s="14" t="s">
        <v>467</v>
      </c>
      <c r="B39" s="15" t="s">
        <v>446</v>
      </c>
      <c r="C39" s="15" t="s">
        <v>468</v>
      </c>
      <c r="D39" s="15" t="s">
        <v>469</v>
      </c>
      <c r="E39" s="15" t="s">
        <v>470</v>
      </c>
      <c r="F39" s="15" t="s">
        <v>471</v>
      </c>
      <c r="G39" s="15" t="s">
        <v>63</v>
      </c>
      <c r="H39" s="15" t="s">
        <v>472</v>
      </c>
      <c r="I39" s="16" t="s">
        <v>196</v>
      </c>
      <c r="J39" s="16" t="s">
        <v>50</v>
      </c>
      <c r="K39" s="16"/>
      <c r="L39" s="17"/>
      <c r="M39" s="18"/>
    </row>
    <row r="40" customFormat="false" ht="23.85" hidden="false" customHeight="false" outlineLevel="0" collapsed="false">
      <c r="A40" s="9" t="s">
        <v>473</v>
      </c>
      <c r="B40" s="10" t="s">
        <v>474</v>
      </c>
      <c r="C40" s="10" t="s">
        <v>475</v>
      </c>
      <c r="D40" s="10" t="s">
        <v>476</v>
      </c>
      <c r="E40" s="10" t="s">
        <v>477</v>
      </c>
      <c r="F40" s="10" t="s">
        <v>478</v>
      </c>
      <c r="G40" s="10" t="s">
        <v>63</v>
      </c>
      <c r="H40" s="10" t="s">
        <v>479</v>
      </c>
      <c r="I40" s="11" t="s">
        <v>65</v>
      </c>
      <c r="J40" s="11" t="s">
        <v>50</v>
      </c>
      <c r="K40" s="11"/>
      <c r="L40" s="12"/>
      <c r="M40" s="13"/>
    </row>
    <row r="41" customFormat="false" ht="23.85" hidden="false" customHeight="false" outlineLevel="0" collapsed="false">
      <c r="A41" s="14" t="s">
        <v>480</v>
      </c>
      <c r="B41" s="15" t="s">
        <v>474</v>
      </c>
      <c r="C41" s="15" t="s">
        <v>481</v>
      </c>
      <c r="D41" s="15" t="s">
        <v>482</v>
      </c>
      <c r="E41" s="15" t="s">
        <v>483</v>
      </c>
      <c r="F41" s="15" t="s">
        <v>484</v>
      </c>
      <c r="G41" s="15" t="s">
        <v>63</v>
      </c>
      <c r="H41" s="15" t="s">
        <v>485</v>
      </c>
      <c r="I41" s="16" t="s">
        <v>49</v>
      </c>
      <c r="J41" s="16" t="s">
        <v>50</v>
      </c>
      <c r="K41" s="16" t="s">
        <v>486</v>
      </c>
      <c r="L41" s="17"/>
      <c r="M41" s="18"/>
    </row>
    <row r="42" customFormat="false" ht="23.85" hidden="false" customHeight="false" outlineLevel="0" collapsed="false">
      <c r="A42" s="9" t="s">
        <v>487</v>
      </c>
      <c r="B42" s="10" t="s">
        <v>474</v>
      </c>
      <c r="C42" s="10" t="s">
        <v>488</v>
      </c>
      <c r="D42" s="10" t="s">
        <v>489</v>
      </c>
      <c r="E42" s="10" t="s">
        <v>490</v>
      </c>
      <c r="F42" s="10" t="s">
        <v>491</v>
      </c>
      <c r="G42" s="10" t="s">
        <v>63</v>
      </c>
      <c r="H42" s="10" t="s">
        <v>492</v>
      </c>
      <c r="I42" s="11" t="s">
        <v>49</v>
      </c>
      <c r="J42" s="11" t="s">
        <v>66</v>
      </c>
      <c r="K42" s="11" t="s">
        <v>486</v>
      </c>
      <c r="L42" s="12"/>
      <c r="M42" s="13"/>
    </row>
    <row r="43" customFormat="false" ht="23.85" hidden="false" customHeight="false" outlineLevel="0" collapsed="false">
      <c r="A43" s="14" t="s">
        <v>493</v>
      </c>
      <c r="B43" s="15" t="s">
        <v>474</v>
      </c>
      <c r="C43" s="15" t="s">
        <v>494</v>
      </c>
      <c r="D43" s="15" t="s">
        <v>495</v>
      </c>
      <c r="E43" s="15" t="s">
        <v>496</v>
      </c>
      <c r="F43" s="15" t="s">
        <v>497</v>
      </c>
      <c r="G43" s="15" t="s">
        <v>63</v>
      </c>
      <c r="H43" s="15" t="s">
        <v>498</v>
      </c>
      <c r="I43" s="16" t="s">
        <v>65</v>
      </c>
      <c r="J43" s="16" t="s">
        <v>50</v>
      </c>
      <c r="K43" s="16" t="s">
        <v>486</v>
      </c>
      <c r="L43" s="17"/>
      <c r="M43" s="18"/>
    </row>
    <row r="44" customFormat="false" ht="23.85" hidden="false" customHeight="false" outlineLevel="0" collapsed="false">
      <c r="A44" s="9" t="s">
        <v>499</v>
      </c>
      <c r="B44" s="10" t="s">
        <v>500</v>
      </c>
      <c r="C44" s="10" t="s">
        <v>501</v>
      </c>
      <c r="D44" s="10" t="s">
        <v>502</v>
      </c>
      <c r="E44" s="10" t="s">
        <v>503</v>
      </c>
      <c r="F44" s="10" t="s">
        <v>504</v>
      </c>
      <c r="G44" s="10" t="s">
        <v>63</v>
      </c>
      <c r="H44" s="10" t="s">
        <v>505</v>
      </c>
      <c r="I44" s="11" t="s">
        <v>49</v>
      </c>
      <c r="J44" s="11" t="s">
        <v>50</v>
      </c>
      <c r="K44" s="11" t="s">
        <v>506</v>
      </c>
      <c r="L44" s="12"/>
      <c r="M44" s="13"/>
    </row>
    <row r="45" customFormat="false" ht="23.85" hidden="false" customHeight="false" outlineLevel="0" collapsed="false">
      <c r="A45" s="14" t="s">
        <v>507</v>
      </c>
      <c r="B45" s="15" t="s">
        <v>500</v>
      </c>
      <c r="C45" s="15" t="s">
        <v>508</v>
      </c>
      <c r="D45" s="15" t="s">
        <v>509</v>
      </c>
      <c r="E45" s="15" t="s">
        <v>510</v>
      </c>
      <c r="F45" s="15" t="s">
        <v>511</v>
      </c>
      <c r="G45" s="15" t="s">
        <v>63</v>
      </c>
      <c r="H45" s="15" t="s">
        <v>512</v>
      </c>
      <c r="I45" s="16" t="s">
        <v>49</v>
      </c>
      <c r="J45" s="16" t="s">
        <v>465</v>
      </c>
      <c r="K45" s="16" t="s">
        <v>513</v>
      </c>
      <c r="L45" s="17"/>
      <c r="M45" s="18"/>
    </row>
    <row r="46" customFormat="false" ht="23.85" hidden="false" customHeight="false" outlineLevel="0" collapsed="false">
      <c r="A46" s="9" t="s">
        <v>514</v>
      </c>
      <c r="B46" s="10" t="s">
        <v>500</v>
      </c>
      <c r="C46" s="10" t="s">
        <v>515</v>
      </c>
      <c r="D46" s="10" t="s">
        <v>516</v>
      </c>
      <c r="E46" s="10" t="s">
        <v>517</v>
      </c>
      <c r="F46" s="10" t="s">
        <v>518</v>
      </c>
      <c r="G46" s="10" t="s">
        <v>63</v>
      </c>
      <c r="H46" s="10" t="s">
        <v>519</v>
      </c>
      <c r="I46" s="11" t="s">
        <v>65</v>
      </c>
      <c r="J46" s="11" t="s">
        <v>50</v>
      </c>
      <c r="K46" s="11" t="s">
        <v>520</v>
      </c>
      <c r="L46" s="12"/>
      <c r="M46" s="13"/>
    </row>
    <row r="47" customFormat="false" ht="23.85" hidden="false" customHeight="false" outlineLevel="0" collapsed="false">
      <c r="A47" s="14" t="s">
        <v>521</v>
      </c>
      <c r="B47" s="15" t="s">
        <v>522</v>
      </c>
      <c r="C47" s="15" t="s">
        <v>523</v>
      </c>
      <c r="D47" s="15" t="s">
        <v>524</v>
      </c>
      <c r="E47" s="15" t="s">
        <v>525</v>
      </c>
      <c r="F47" s="15" t="s">
        <v>526</v>
      </c>
      <c r="G47" s="15" t="s">
        <v>63</v>
      </c>
      <c r="H47" s="15" t="s">
        <v>527</v>
      </c>
      <c r="I47" s="16" t="s">
        <v>65</v>
      </c>
      <c r="J47" s="16" t="s">
        <v>50</v>
      </c>
      <c r="K47" s="16" t="s">
        <v>347</v>
      </c>
      <c r="L47" s="17"/>
      <c r="M47" s="18"/>
    </row>
    <row r="48" customFormat="false" ht="23.85" hidden="false" customHeight="false" outlineLevel="0" collapsed="false">
      <c r="A48" s="9" t="s">
        <v>528</v>
      </c>
      <c r="B48" s="10" t="s">
        <v>522</v>
      </c>
      <c r="C48" s="10" t="s">
        <v>529</v>
      </c>
      <c r="D48" s="10" t="s">
        <v>530</v>
      </c>
      <c r="E48" s="10" t="s">
        <v>525</v>
      </c>
      <c r="F48" s="10" t="s">
        <v>531</v>
      </c>
      <c r="G48" s="10" t="s">
        <v>63</v>
      </c>
      <c r="H48" s="10" t="s">
        <v>532</v>
      </c>
      <c r="I48" s="11" t="s">
        <v>196</v>
      </c>
      <c r="J48" s="11" t="s">
        <v>50</v>
      </c>
      <c r="K48" s="11"/>
      <c r="L48" s="12"/>
      <c r="M48" s="13"/>
    </row>
    <row r="49" customFormat="false" ht="15" hidden="false" customHeight="false" outlineLevel="0" collapsed="false">
      <c r="A49" s="14" t="s">
        <v>533</v>
      </c>
      <c r="B49" s="15" t="s">
        <v>522</v>
      </c>
      <c r="C49" s="15" t="s">
        <v>534</v>
      </c>
      <c r="D49" s="15" t="s">
        <v>535</v>
      </c>
      <c r="E49" s="15" t="s">
        <v>536</v>
      </c>
      <c r="F49" s="15" t="s">
        <v>537</v>
      </c>
      <c r="G49" s="15" t="s">
        <v>63</v>
      </c>
      <c r="H49" s="15" t="s">
        <v>538</v>
      </c>
      <c r="I49" s="16" t="s">
        <v>65</v>
      </c>
      <c r="J49" s="16" t="s">
        <v>66</v>
      </c>
      <c r="K49" s="16"/>
      <c r="L49" s="17"/>
      <c r="M49" s="18"/>
    </row>
    <row r="50" customFormat="false" ht="23.85" hidden="false" customHeight="false" outlineLevel="0" collapsed="false">
      <c r="A50" s="9" t="s">
        <v>539</v>
      </c>
      <c r="B50" s="10" t="s">
        <v>540</v>
      </c>
      <c r="C50" s="10" t="s">
        <v>541</v>
      </c>
      <c r="D50" s="10" t="s">
        <v>542</v>
      </c>
      <c r="E50" s="10" t="s">
        <v>543</v>
      </c>
      <c r="F50" s="10" t="s">
        <v>544</v>
      </c>
      <c r="G50" s="10" t="s">
        <v>545</v>
      </c>
      <c r="H50" s="10" t="s">
        <v>546</v>
      </c>
      <c r="I50" s="11" t="s">
        <v>49</v>
      </c>
      <c r="J50" s="11" t="s">
        <v>50</v>
      </c>
      <c r="K50" s="11" t="s">
        <v>547</v>
      </c>
      <c r="L50" s="12"/>
      <c r="M50" s="13"/>
    </row>
    <row r="51" customFormat="false" ht="23.85" hidden="false" customHeight="false" outlineLevel="0" collapsed="false">
      <c r="A51" s="14" t="s">
        <v>548</v>
      </c>
      <c r="B51" s="15" t="s">
        <v>540</v>
      </c>
      <c r="C51" s="15" t="s">
        <v>549</v>
      </c>
      <c r="D51" s="15" t="s">
        <v>550</v>
      </c>
      <c r="E51" s="15" t="s">
        <v>551</v>
      </c>
      <c r="F51" s="15" t="s">
        <v>552</v>
      </c>
      <c r="G51" s="15" t="s">
        <v>553</v>
      </c>
      <c r="H51" s="15" t="s">
        <v>554</v>
      </c>
      <c r="I51" s="16" t="s">
        <v>65</v>
      </c>
      <c r="J51" s="16" t="s">
        <v>50</v>
      </c>
      <c r="K51" s="16" t="s">
        <v>547</v>
      </c>
      <c r="L51" s="17"/>
      <c r="M51" s="18"/>
    </row>
    <row r="52" customFormat="false" ht="23.85" hidden="false" customHeight="false" outlineLevel="0" collapsed="false">
      <c r="A52" s="9" t="s">
        <v>555</v>
      </c>
      <c r="B52" s="10" t="s">
        <v>540</v>
      </c>
      <c r="C52" s="10" t="s">
        <v>556</v>
      </c>
      <c r="D52" s="10" t="s">
        <v>557</v>
      </c>
      <c r="E52" s="10" t="s">
        <v>558</v>
      </c>
      <c r="F52" s="10" t="s">
        <v>559</v>
      </c>
      <c r="G52" s="10" t="s">
        <v>63</v>
      </c>
      <c r="H52" s="10" t="s">
        <v>560</v>
      </c>
      <c r="I52" s="11" t="s">
        <v>196</v>
      </c>
      <c r="J52" s="11" t="s">
        <v>58</v>
      </c>
      <c r="K52" s="11" t="s">
        <v>547</v>
      </c>
      <c r="L52" s="12"/>
      <c r="M52" s="13"/>
    </row>
    <row r="53" customFormat="false" ht="23.85" hidden="false" customHeight="false" outlineLevel="0" collapsed="false">
      <c r="A53" s="14" t="s">
        <v>561</v>
      </c>
      <c r="B53" s="15" t="s">
        <v>540</v>
      </c>
      <c r="C53" s="15" t="s">
        <v>562</v>
      </c>
      <c r="D53" s="15" t="s">
        <v>563</v>
      </c>
      <c r="E53" s="15" t="s">
        <v>564</v>
      </c>
      <c r="F53" s="15" t="s">
        <v>565</v>
      </c>
      <c r="G53" s="15" t="s">
        <v>63</v>
      </c>
      <c r="H53" s="15" t="s">
        <v>566</v>
      </c>
      <c r="I53" s="16" t="s">
        <v>49</v>
      </c>
      <c r="J53" s="16" t="s">
        <v>50</v>
      </c>
      <c r="K53" s="16" t="s">
        <v>567</v>
      </c>
      <c r="L53" s="17"/>
      <c r="M53" s="18"/>
    </row>
    <row r="54" customFormat="false" ht="23.85" hidden="false" customHeight="false" outlineLevel="0" collapsed="false">
      <c r="A54" s="9" t="s">
        <v>568</v>
      </c>
      <c r="B54" s="10" t="s">
        <v>540</v>
      </c>
      <c r="C54" s="10" t="s">
        <v>569</v>
      </c>
      <c r="D54" s="10" t="s">
        <v>570</v>
      </c>
      <c r="E54" s="10" t="s">
        <v>571</v>
      </c>
      <c r="F54" s="10" t="s">
        <v>572</v>
      </c>
      <c r="G54" s="10" t="s">
        <v>573</v>
      </c>
      <c r="H54" s="10" t="s">
        <v>574</v>
      </c>
      <c r="I54" s="11" t="s">
        <v>49</v>
      </c>
      <c r="J54" s="11" t="s">
        <v>66</v>
      </c>
      <c r="K54" s="11" t="s">
        <v>567</v>
      </c>
      <c r="L54" s="12"/>
      <c r="M54" s="13"/>
    </row>
    <row r="55" customFormat="false" ht="23.85" hidden="false" customHeight="false" outlineLevel="0" collapsed="false">
      <c r="A55" s="14" t="s">
        <v>575</v>
      </c>
      <c r="B55" s="15" t="s">
        <v>540</v>
      </c>
      <c r="C55" s="15" t="s">
        <v>576</v>
      </c>
      <c r="D55" s="15" t="s">
        <v>577</v>
      </c>
      <c r="E55" s="15" t="s">
        <v>578</v>
      </c>
      <c r="F55" s="15" t="s">
        <v>579</v>
      </c>
      <c r="G55" s="15" t="s">
        <v>63</v>
      </c>
      <c r="H55" s="15" t="s">
        <v>580</v>
      </c>
      <c r="I55" s="16" t="s">
        <v>49</v>
      </c>
      <c r="J55" s="16" t="s">
        <v>66</v>
      </c>
      <c r="K55" s="16" t="s">
        <v>567</v>
      </c>
      <c r="L55" s="17"/>
      <c r="M55" s="18"/>
    </row>
    <row r="56" customFormat="false" ht="35.05" hidden="false" customHeight="false" outlineLevel="0" collapsed="false">
      <c r="A56" s="9" t="s">
        <v>581</v>
      </c>
      <c r="B56" s="10" t="s">
        <v>540</v>
      </c>
      <c r="C56" s="10" t="s">
        <v>582</v>
      </c>
      <c r="D56" s="10" t="s">
        <v>583</v>
      </c>
      <c r="E56" s="10" t="s">
        <v>584</v>
      </c>
      <c r="F56" s="10" t="s">
        <v>585</v>
      </c>
      <c r="G56" s="10" t="s">
        <v>63</v>
      </c>
      <c r="H56" s="10" t="s">
        <v>586</v>
      </c>
      <c r="I56" s="11" t="s">
        <v>49</v>
      </c>
      <c r="J56" s="11" t="s">
        <v>66</v>
      </c>
      <c r="K56" s="11" t="s">
        <v>567</v>
      </c>
      <c r="L56" s="12"/>
      <c r="M56" s="13"/>
    </row>
    <row r="57" customFormat="false" ht="35.05" hidden="false" customHeight="false" outlineLevel="0" collapsed="false">
      <c r="A57" s="14" t="s">
        <v>587</v>
      </c>
      <c r="B57" s="15" t="s">
        <v>588</v>
      </c>
      <c r="C57" s="15" t="s">
        <v>589</v>
      </c>
      <c r="D57" s="15" t="s">
        <v>590</v>
      </c>
      <c r="E57" s="15" t="s">
        <v>247</v>
      </c>
      <c r="F57" s="15" t="s">
        <v>591</v>
      </c>
      <c r="G57" s="15" t="s">
        <v>63</v>
      </c>
      <c r="H57" s="15" t="s">
        <v>592</v>
      </c>
      <c r="I57" s="16" t="s">
        <v>65</v>
      </c>
      <c r="J57" s="16" t="s">
        <v>50</v>
      </c>
      <c r="K57" s="16" t="s">
        <v>380</v>
      </c>
      <c r="L57" s="17"/>
      <c r="M57" s="18"/>
    </row>
    <row r="58" customFormat="false" ht="23.85" hidden="false" customHeight="false" outlineLevel="0" collapsed="false">
      <c r="A58" s="9" t="s">
        <v>593</v>
      </c>
      <c r="B58" s="10" t="s">
        <v>588</v>
      </c>
      <c r="C58" s="10" t="s">
        <v>594</v>
      </c>
      <c r="D58" s="10" t="s">
        <v>595</v>
      </c>
      <c r="E58" s="10" t="s">
        <v>596</v>
      </c>
      <c r="F58" s="10" t="s">
        <v>597</v>
      </c>
      <c r="G58" s="10" t="s">
        <v>63</v>
      </c>
      <c r="H58" s="10" t="s">
        <v>598</v>
      </c>
      <c r="I58" s="11" t="s">
        <v>65</v>
      </c>
      <c r="J58" s="11" t="s">
        <v>50</v>
      </c>
      <c r="K58" s="11" t="s">
        <v>380</v>
      </c>
      <c r="L58" s="12"/>
      <c r="M58" s="13"/>
    </row>
    <row r="59" customFormat="false" ht="23.85" hidden="false" customHeight="false" outlineLevel="0" collapsed="false">
      <c r="A59" s="14" t="s">
        <v>599</v>
      </c>
      <c r="B59" s="15" t="s">
        <v>588</v>
      </c>
      <c r="C59" s="15" t="s">
        <v>600</v>
      </c>
      <c r="D59" s="15" t="s">
        <v>601</v>
      </c>
      <c r="E59" s="15" t="s">
        <v>247</v>
      </c>
      <c r="F59" s="15" t="s">
        <v>602</v>
      </c>
      <c r="G59" s="15" t="s">
        <v>63</v>
      </c>
      <c r="H59" s="15" t="s">
        <v>603</v>
      </c>
      <c r="I59" s="16" t="s">
        <v>196</v>
      </c>
      <c r="J59" s="16" t="s">
        <v>50</v>
      </c>
      <c r="K59" s="16"/>
      <c r="L59" s="17"/>
      <c r="M59" s="18"/>
    </row>
    <row r="60" customFormat="false" ht="35.05" hidden="false" customHeight="false" outlineLevel="0" collapsed="false">
      <c r="A60" s="9" t="s">
        <v>604</v>
      </c>
      <c r="B60" s="10" t="s">
        <v>588</v>
      </c>
      <c r="C60" s="10" t="s">
        <v>605</v>
      </c>
      <c r="D60" s="10" t="s">
        <v>606</v>
      </c>
      <c r="E60" s="10" t="s">
        <v>607</v>
      </c>
      <c r="F60" s="10" t="s">
        <v>608</v>
      </c>
      <c r="G60" s="10" t="s">
        <v>63</v>
      </c>
      <c r="H60" s="10" t="s">
        <v>609</v>
      </c>
      <c r="I60" s="11" t="s">
        <v>65</v>
      </c>
      <c r="J60" s="11" t="s">
        <v>50</v>
      </c>
      <c r="K60" s="11"/>
      <c r="L60" s="12"/>
      <c r="M60" s="13"/>
    </row>
    <row r="61" customFormat="false" ht="23.85" hidden="false" customHeight="false" outlineLevel="0" collapsed="false">
      <c r="A61" s="14" t="s">
        <v>610</v>
      </c>
      <c r="B61" s="15" t="s">
        <v>90</v>
      </c>
      <c r="C61" s="15" t="s">
        <v>611</v>
      </c>
      <c r="D61" s="15" t="s">
        <v>612</v>
      </c>
      <c r="E61" s="15" t="s">
        <v>247</v>
      </c>
      <c r="F61" s="15" t="s">
        <v>613</v>
      </c>
      <c r="G61" s="15" t="s">
        <v>614</v>
      </c>
      <c r="H61" s="15" t="s">
        <v>615</v>
      </c>
      <c r="I61" s="16" t="s">
        <v>65</v>
      </c>
      <c r="J61" s="16" t="s">
        <v>50</v>
      </c>
      <c r="K61" s="16"/>
      <c r="L61" s="17"/>
      <c r="M61" s="18"/>
    </row>
    <row r="62" customFormat="false" ht="23.85" hidden="false" customHeight="false" outlineLevel="0" collapsed="false">
      <c r="A62" s="9" t="s">
        <v>616</v>
      </c>
      <c r="B62" s="10" t="s">
        <v>617</v>
      </c>
      <c r="C62" s="10" t="s">
        <v>618</v>
      </c>
      <c r="D62" s="10" t="s">
        <v>619</v>
      </c>
      <c r="E62" s="10" t="s">
        <v>247</v>
      </c>
      <c r="F62" s="10" t="s">
        <v>620</v>
      </c>
      <c r="G62" s="10" t="s">
        <v>63</v>
      </c>
      <c r="H62" s="10" t="s">
        <v>621</v>
      </c>
      <c r="I62" s="11" t="s">
        <v>196</v>
      </c>
      <c r="J62" s="11" t="s">
        <v>50</v>
      </c>
      <c r="K62" s="11"/>
      <c r="L62" s="12"/>
      <c r="M62" s="13"/>
    </row>
    <row r="63" customFormat="false" ht="23.85" hidden="false" customHeight="false" outlineLevel="0" collapsed="false">
      <c r="A63" s="14" t="s">
        <v>622</v>
      </c>
      <c r="B63" s="15" t="s">
        <v>617</v>
      </c>
      <c r="C63" s="15" t="s">
        <v>623</v>
      </c>
      <c r="D63" s="15" t="s">
        <v>624</v>
      </c>
      <c r="E63" s="15" t="s">
        <v>625</v>
      </c>
      <c r="F63" s="15" t="s">
        <v>626</v>
      </c>
      <c r="G63" s="15" t="s">
        <v>627</v>
      </c>
      <c r="H63" s="15" t="s">
        <v>628</v>
      </c>
      <c r="I63" s="16" t="s">
        <v>196</v>
      </c>
      <c r="J63" s="16" t="s">
        <v>174</v>
      </c>
      <c r="K63" s="16"/>
      <c r="L63" s="17"/>
      <c r="M63" s="18"/>
    </row>
    <row r="64" customFormat="false" ht="15" hidden="false" customHeight="false" outlineLevel="0" collapsed="false">
      <c r="A64" s="9" t="s">
        <v>629</v>
      </c>
      <c r="B64" s="10" t="s">
        <v>630</v>
      </c>
      <c r="C64" s="10" t="s">
        <v>631</v>
      </c>
      <c r="D64" s="10" t="s">
        <v>632</v>
      </c>
      <c r="E64" s="10" t="s">
        <v>247</v>
      </c>
      <c r="F64" s="10" t="s">
        <v>633</v>
      </c>
      <c r="G64" s="10" t="s">
        <v>63</v>
      </c>
      <c r="H64" s="10" t="s">
        <v>634</v>
      </c>
      <c r="I64" s="11" t="s">
        <v>196</v>
      </c>
      <c r="J64" s="11" t="s">
        <v>50</v>
      </c>
      <c r="K64" s="11"/>
      <c r="L64" s="12"/>
      <c r="M64" s="13"/>
    </row>
    <row r="65" customFormat="false" ht="15" hidden="false" customHeight="false" outlineLevel="0" collapsed="false">
      <c r="A65" s="14" t="s">
        <v>635</v>
      </c>
      <c r="B65" s="15" t="s">
        <v>630</v>
      </c>
      <c r="C65" s="15" t="s">
        <v>636</v>
      </c>
      <c r="D65" s="15" t="s">
        <v>637</v>
      </c>
      <c r="E65" s="15" t="s">
        <v>247</v>
      </c>
      <c r="F65" s="15" t="s">
        <v>638</v>
      </c>
      <c r="G65" s="15" t="s">
        <v>63</v>
      </c>
      <c r="H65" s="15" t="s">
        <v>639</v>
      </c>
      <c r="I65" s="16" t="s">
        <v>196</v>
      </c>
      <c r="J65" s="16" t="s">
        <v>50</v>
      </c>
      <c r="K65" s="16"/>
      <c r="L65" s="17"/>
      <c r="M65" s="18"/>
    </row>
  </sheetData>
  <autoFilter ref="A1:M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6" t="s">
        <v>29</v>
      </c>
      <c r="B1" s="6" t="s">
        <v>19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40</v>
      </c>
    </row>
    <row r="2" customFormat="false" ht="23.85" hidden="false" customHeight="false" outlineLevel="0" collapsed="false">
      <c r="A2" s="9" t="s">
        <v>640</v>
      </c>
      <c r="B2" s="10" t="s">
        <v>641</v>
      </c>
      <c r="C2" s="10" t="s">
        <v>642</v>
      </c>
      <c r="D2" s="10" t="s">
        <v>643</v>
      </c>
      <c r="E2" s="10" t="s">
        <v>644</v>
      </c>
      <c r="F2" s="10" t="s">
        <v>645</v>
      </c>
      <c r="G2" s="10" t="s">
        <v>646</v>
      </c>
      <c r="H2" s="10" t="s">
        <v>647</v>
      </c>
      <c r="I2" s="11" t="s">
        <v>49</v>
      </c>
      <c r="J2" s="11" t="s">
        <v>50</v>
      </c>
      <c r="K2" s="11"/>
      <c r="L2" s="12"/>
      <c r="M2" s="13"/>
    </row>
    <row r="3" customFormat="false" ht="23.85" hidden="false" customHeight="false" outlineLevel="0" collapsed="false">
      <c r="A3" s="14" t="s">
        <v>648</v>
      </c>
      <c r="B3" s="15" t="s">
        <v>641</v>
      </c>
      <c r="C3" s="15" t="s">
        <v>649</v>
      </c>
      <c r="D3" s="15" t="s">
        <v>650</v>
      </c>
      <c r="E3" s="15" t="s">
        <v>651</v>
      </c>
      <c r="F3" s="15" t="s">
        <v>652</v>
      </c>
      <c r="G3" s="15" t="s">
        <v>653</v>
      </c>
      <c r="H3" s="15" t="s">
        <v>654</v>
      </c>
      <c r="I3" s="16" t="s">
        <v>49</v>
      </c>
      <c r="J3" s="16" t="s">
        <v>50</v>
      </c>
      <c r="K3" s="16"/>
      <c r="L3" s="17"/>
      <c r="M3" s="18"/>
    </row>
    <row r="4" customFormat="false" ht="23.85" hidden="false" customHeight="false" outlineLevel="0" collapsed="false">
      <c r="A4" s="9" t="s">
        <v>655</v>
      </c>
      <c r="B4" s="10" t="s">
        <v>641</v>
      </c>
      <c r="C4" s="10" t="s">
        <v>656</v>
      </c>
      <c r="D4" s="10" t="s">
        <v>657</v>
      </c>
      <c r="E4" s="10" t="s">
        <v>658</v>
      </c>
      <c r="F4" s="10" t="s">
        <v>659</v>
      </c>
      <c r="G4" s="10" t="s">
        <v>660</v>
      </c>
      <c r="H4" s="10" t="s">
        <v>661</v>
      </c>
      <c r="I4" s="11" t="s">
        <v>49</v>
      </c>
      <c r="J4" s="11" t="s">
        <v>50</v>
      </c>
      <c r="K4" s="11"/>
      <c r="L4" s="12"/>
      <c r="M4" s="13"/>
    </row>
    <row r="5" customFormat="false" ht="23.85" hidden="false" customHeight="false" outlineLevel="0" collapsed="false">
      <c r="A5" s="14" t="s">
        <v>662</v>
      </c>
      <c r="B5" s="15" t="s">
        <v>641</v>
      </c>
      <c r="C5" s="15" t="s">
        <v>663</v>
      </c>
      <c r="D5" s="15" t="s">
        <v>664</v>
      </c>
      <c r="E5" s="15" t="s">
        <v>665</v>
      </c>
      <c r="F5" s="15" t="s">
        <v>666</v>
      </c>
      <c r="G5" s="15" t="s">
        <v>63</v>
      </c>
      <c r="H5" s="15" t="s">
        <v>667</v>
      </c>
      <c r="I5" s="16" t="s">
        <v>65</v>
      </c>
      <c r="J5" s="16" t="s">
        <v>58</v>
      </c>
      <c r="K5" s="16"/>
      <c r="L5" s="17"/>
      <c r="M5" s="18"/>
    </row>
    <row r="6" customFormat="false" ht="23.85" hidden="false" customHeight="false" outlineLevel="0" collapsed="false">
      <c r="A6" s="9" t="s">
        <v>668</v>
      </c>
      <c r="B6" s="10" t="s">
        <v>669</v>
      </c>
      <c r="C6" s="10" t="s">
        <v>670</v>
      </c>
      <c r="D6" s="10" t="s">
        <v>671</v>
      </c>
      <c r="E6" s="10" t="s">
        <v>672</v>
      </c>
      <c r="F6" s="10" t="s">
        <v>673</v>
      </c>
      <c r="G6" s="10" t="s">
        <v>63</v>
      </c>
      <c r="H6" s="10" t="s">
        <v>674</v>
      </c>
      <c r="I6" s="11" t="s">
        <v>49</v>
      </c>
      <c r="J6" s="11" t="s">
        <v>50</v>
      </c>
      <c r="K6" s="11"/>
      <c r="L6" s="12"/>
      <c r="M6" s="13"/>
    </row>
    <row r="7" customFormat="false" ht="23.85" hidden="false" customHeight="false" outlineLevel="0" collapsed="false">
      <c r="A7" s="14" t="s">
        <v>675</v>
      </c>
      <c r="B7" s="15" t="s">
        <v>676</v>
      </c>
      <c r="C7" s="15" t="s">
        <v>677</v>
      </c>
      <c r="D7" s="15" t="s">
        <v>678</v>
      </c>
      <c r="E7" s="15" t="s">
        <v>679</v>
      </c>
      <c r="F7" s="15" t="s">
        <v>680</v>
      </c>
      <c r="G7" s="15" t="s">
        <v>63</v>
      </c>
      <c r="H7" s="15" t="s">
        <v>681</v>
      </c>
      <c r="I7" s="16" t="s">
        <v>49</v>
      </c>
      <c r="J7" s="16" t="s">
        <v>50</v>
      </c>
      <c r="K7" s="16" t="s">
        <v>682</v>
      </c>
      <c r="L7" s="17"/>
      <c r="M7" s="18"/>
    </row>
    <row r="8" customFormat="false" ht="23.85" hidden="false" customHeight="false" outlineLevel="0" collapsed="false">
      <c r="A8" s="9" t="s">
        <v>683</v>
      </c>
      <c r="B8" s="10" t="s">
        <v>676</v>
      </c>
      <c r="C8" s="10" t="s">
        <v>684</v>
      </c>
      <c r="D8" s="10" t="s">
        <v>685</v>
      </c>
      <c r="E8" s="10" t="s">
        <v>686</v>
      </c>
      <c r="F8" s="10" t="s">
        <v>687</v>
      </c>
      <c r="G8" s="10" t="s">
        <v>63</v>
      </c>
      <c r="H8" s="10" t="s">
        <v>688</v>
      </c>
      <c r="I8" s="11" t="s">
        <v>65</v>
      </c>
      <c r="J8" s="11" t="s">
        <v>50</v>
      </c>
      <c r="K8" s="11" t="s">
        <v>682</v>
      </c>
      <c r="L8" s="12"/>
      <c r="M8" s="13"/>
    </row>
    <row r="9" customFormat="false" ht="23.85" hidden="false" customHeight="false" outlineLevel="0" collapsed="false">
      <c r="A9" s="14" t="s">
        <v>689</v>
      </c>
      <c r="B9" s="15" t="s">
        <v>676</v>
      </c>
      <c r="C9" s="15" t="s">
        <v>690</v>
      </c>
      <c r="D9" s="15" t="s">
        <v>691</v>
      </c>
      <c r="E9" s="15" t="s">
        <v>692</v>
      </c>
      <c r="F9" s="15" t="s">
        <v>693</v>
      </c>
      <c r="G9" s="15" t="s">
        <v>63</v>
      </c>
      <c r="H9" s="15" t="s">
        <v>694</v>
      </c>
      <c r="I9" s="16" t="s">
        <v>49</v>
      </c>
      <c r="J9" s="16" t="s">
        <v>50</v>
      </c>
      <c r="K9" s="16" t="s">
        <v>695</v>
      </c>
      <c r="L9" s="17"/>
      <c r="M9" s="18"/>
    </row>
    <row r="10" customFormat="false" ht="23.85" hidden="false" customHeight="false" outlineLevel="0" collapsed="false">
      <c r="A10" s="9" t="s">
        <v>696</v>
      </c>
      <c r="B10" s="10" t="s">
        <v>676</v>
      </c>
      <c r="C10" s="10" t="s">
        <v>697</v>
      </c>
      <c r="D10" s="10" t="s">
        <v>698</v>
      </c>
      <c r="E10" s="10" t="s">
        <v>699</v>
      </c>
      <c r="F10" s="10" t="s">
        <v>700</v>
      </c>
      <c r="G10" s="10" t="s">
        <v>63</v>
      </c>
      <c r="H10" s="10" t="s">
        <v>701</v>
      </c>
      <c r="I10" s="11" t="s">
        <v>65</v>
      </c>
      <c r="J10" s="11" t="s">
        <v>58</v>
      </c>
      <c r="K10" s="11"/>
      <c r="L10" s="12"/>
      <c r="M10" s="13"/>
    </row>
    <row r="11" customFormat="false" ht="23.85" hidden="false" customHeight="false" outlineLevel="0" collapsed="false">
      <c r="A11" s="14" t="s">
        <v>702</v>
      </c>
      <c r="B11" s="15" t="s">
        <v>703</v>
      </c>
      <c r="C11" s="15" t="s">
        <v>704</v>
      </c>
      <c r="D11" s="15" t="s">
        <v>705</v>
      </c>
      <c r="E11" s="15" t="s">
        <v>706</v>
      </c>
      <c r="F11" s="15" t="s">
        <v>707</v>
      </c>
      <c r="G11" s="15" t="s">
        <v>63</v>
      </c>
      <c r="H11" s="15" t="s">
        <v>708</v>
      </c>
      <c r="I11" s="16" t="s">
        <v>49</v>
      </c>
      <c r="J11" s="16" t="s">
        <v>50</v>
      </c>
      <c r="K11" s="16" t="s">
        <v>430</v>
      </c>
      <c r="L11" s="17"/>
      <c r="M11" s="18"/>
    </row>
    <row r="12" customFormat="false" ht="23.85" hidden="false" customHeight="false" outlineLevel="0" collapsed="false">
      <c r="A12" s="9" t="s">
        <v>709</v>
      </c>
      <c r="B12" s="10" t="s">
        <v>703</v>
      </c>
      <c r="C12" s="10" t="s">
        <v>710</v>
      </c>
      <c r="D12" s="10" t="s">
        <v>711</v>
      </c>
      <c r="E12" s="10" t="s">
        <v>712</v>
      </c>
      <c r="F12" s="10" t="s">
        <v>713</v>
      </c>
      <c r="G12" s="10" t="s">
        <v>714</v>
      </c>
      <c r="H12" s="10" t="s">
        <v>715</v>
      </c>
      <c r="I12" s="11" t="s">
        <v>49</v>
      </c>
      <c r="J12" s="11" t="s">
        <v>50</v>
      </c>
      <c r="K12" s="11" t="s">
        <v>430</v>
      </c>
      <c r="L12" s="12"/>
      <c r="M12" s="13"/>
    </row>
    <row r="13" customFormat="false" ht="23.85" hidden="false" customHeight="false" outlineLevel="0" collapsed="false">
      <c r="A13" s="14" t="s">
        <v>716</v>
      </c>
      <c r="B13" s="15" t="s">
        <v>703</v>
      </c>
      <c r="C13" s="15" t="s">
        <v>717</v>
      </c>
      <c r="D13" s="15" t="s">
        <v>718</v>
      </c>
      <c r="E13" s="15" t="s">
        <v>719</v>
      </c>
      <c r="F13" s="15" t="s">
        <v>720</v>
      </c>
      <c r="G13" s="15" t="s">
        <v>63</v>
      </c>
      <c r="H13" s="15" t="s">
        <v>721</v>
      </c>
      <c r="I13" s="16" t="s">
        <v>49</v>
      </c>
      <c r="J13" s="16" t="s">
        <v>66</v>
      </c>
      <c r="K13" s="16" t="s">
        <v>430</v>
      </c>
      <c r="L13" s="17"/>
      <c r="M13" s="18"/>
    </row>
    <row r="14" customFormat="false" ht="35.05" hidden="false" customHeight="false" outlineLevel="0" collapsed="false">
      <c r="A14" s="9" t="s">
        <v>722</v>
      </c>
      <c r="B14" s="10" t="s">
        <v>703</v>
      </c>
      <c r="C14" s="10" t="s">
        <v>723</v>
      </c>
      <c r="D14" s="10" t="s">
        <v>724</v>
      </c>
      <c r="E14" s="10" t="s">
        <v>725</v>
      </c>
      <c r="F14" s="10" t="s">
        <v>726</v>
      </c>
      <c r="G14" s="10" t="s">
        <v>63</v>
      </c>
      <c r="H14" s="10" t="s">
        <v>727</v>
      </c>
      <c r="I14" s="11" t="s">
        <v>49</v>
      </c>
      <c r="J14" s="11" t="s">
        <v>66</v>
      </c>
      <c r="K14" s="11" t="s">
        <v>430</v>
      </c>
      <c r="L14" s="12"/>
      <c r="M14" s="13"/>
    </row>
    <row r="15" customFormat="false" ht="23.85" hidden="false" customHeight="false" outlineLevel="0" collapsed="false">
      <c r="A15" s="14" t="s">
        <v>728</v>
      </c>
      <c r="B15" s="15" t="s">
        <v>729</v>
      </c>
      <c r="C15" s="15" t="s">
        <v>730</v>
      </c>
      <c r="D15" s="15" t="s">
        <v>731</v>
      </c>
      <c r="E15" s="15" t="s">
        <v>732</v>
      </c>
      <c r="F15" s="15" t="s">
        <v>733</v>
      </c>
      <c r="G15" s="15" t="s">
        <v>63</v>
      </c>
      <c r="H15" s="15" t="s">
        <v>734</v>
      </c>
      <c r="I15" s="16" t="s">
        <v>49</v>
      </c>
      <c r="J15" s="16" t="s">
        <v>50</v>
      </c>
      <c r="K15" s="16" t="s">
        <v>735</v>
      </c>
      <c r="L15" s="17"/>
      <c r="M15" s="18"/>
    </row>
    <row r="16" customFormat="false" ht="23.85" hidden="false" customHeight="false" outlineLevel="0" collapsed="false">
      <c r="A16" s="9" t="s">
        <v>736</v>
      </c>
      <c r="B16" s="10" t="s">
        <v>729</v>
      </c>
      <c r="C16" s="10" t="s">
        <v>737</v>
      </c>
      <c r="D16" s="10" t="s">
        <v>738</v>
      </c>
      <c r="E16" s="10" t="s">
        <v>732</v>
      </c>
      <c r="F16" s="10" t="s">
        <v>739</v>
      </c>
      <c r="G16" s="10" t="s">
        <v>63</v>
      </c>
      <c r="H16" s="10" t="s">
        <v>740</v>
      </c>
      <c r="I16" s="11" t="s">
        <v>49</v>
      </c>
      <c r="J16" s="11" t="s">
        <v>50</v>
      </c>
      <c r="K16" s="11" t="s">
        <v>735</v>
      </c>
      <c r="L16" s="12"/>
      <c r="M16" s="13"/>
    </row>
    <row r="17" customFormat="false" ht="23.85" hidden="false" customHeight="false" outlineLevel="0" collapsed="false">
      <c r="A17" s="14" t="s">
        <v>741</v>
      </c>
      <c r="B17" s="15" t="s">
        <v>729</v>
      </c>
      <c r="C17" s="15" t="s">
        <v>742</v>
      </c>
      <c r="D17" s="15" t="s">
        <v>743</v>
      </c>
      <c r="E17" s="15" t="s">
        <v>732</v>
      </c>
      <c r="F17" s="15" t="s">
        <v>744</v>
      </c>
      <c r="G17" s="15" t="s">
        <v>63</v>
      </c>
      <c r="H17" s="15" t="s">
        <v>745</v>
      </c>
      <c r="I17" s="16" t="s">
        <v>65</v>
      </c>
      <c r="J17" s="16" t="s">
        <v>50</v>
      </c>
      <c r="K17" s="16" t="s">
        <v>735</v>
      </c>
      <c r="L17" s="17"/>
      <c r="M17" s="18"/>
    </row>
    <row r="18" customFormat="false" ht="23.85" hidden="false" customHeight="false" outlineLevel="0" collapsed="false">
      <c r="A18" s="9" t="s">
        <v>746</v>
      </c>
      <c r="B18" s="10" t="s">
        <v>432</v>
      </c>
      <c r="C18" s="10" t="s">
        <v>747</v>
      </c>
      <c r="D18" s="10" t="s">
        <v>748</v>
      </c>
      <c r="E18" s="10" t="s">
        <v>749</v>
      </c>
      <c r="F18" s="10" t="s">
        <v>750</v>
      </c>
      <c r="G18" s="10" t="s">
        <v>63</v>
      </c>
      <c r="H18" s="10" t="s">
        <v>751</v>
      </c>
      <c r="I18" s="11" t="s">
        <v>49</v>
      </c>
      <c r="J18" s="11" t="s">
        <v>50</v>
      </c>
      <c r="K18" s="11" t="s">
        <v>444</v>
      </c>
      <c r="L18" s="12"/>
      <c r="M18" s="13"/>
    </row>
    <row r="19" customFormat="false" ht="23.85" hidden="false" customHeight="false" outlineLevel="0" collapsed="false">
      <c r="A19" s="14" t="s">
        <v>752</v>
      </c>
      <c r="B19" s="15" t="s">
        <v>432</v>
      </c>
      <c r="C19" s="15" t="s">
        <v>753</v>
      </c>
      <c r="D19" s="15" t="s">
        <v>754</v>
      </c>
      <c r="E19" s="15" t="s">
        <v>755</v>
      </c>
      <c r="F19" s="15" t="s">
        <v>756</v>
      </c>
      <c r="G19" s="15" t="s">
        <v>63</v>
      </c>
      <c r="H19" s="15" t="s">
        <v>757</v>
      </c>
      <c r="I19" s="16" t="s">
        <v>65</v>
      </c>
      <c r="J19" s="16" t="s">
        <v>50</v>
      </c>
      <c r="K19" s="16" t="s">
        <v>758</v>
      </c>
      <c r="L19" s="17"/>
      <c r="M19" s="18"/>
    </row>
    <row r="20" customFormat="false" ht="23.85" hidden="false" customHeight="false" outlineLevel="0" collapsed="false">
      <c r="A20" s="9" t="s">
        <v>759</v>
      </c>
      <c r="B20" s="10" t="s">
        <v>446</v>
      </c>
      <c r="C20" s="10" t="s">
        <v>760</v>
      </c>
      <c r="D20" s="10" t="s">
        <v>761</v>
      </c>
      <c r="E20" s="10" t="s">
        <v>762</v>
      </c>
      <c r="F20" s="10" t="s">
        <v>763</v>
      </c>
      <c r="G20" s="10" t="s">
        <v>63</v>
      </c>
      <c r="H20" s="10" t="s">
        <v>764</v>
      </c>
      <c r="I20" s="11" t="s">
        <v>65</v>
      </c>
      <c r="J20" s="11" t="s">
        <v>50</v>
      </c>
      <c r="K20" s="11" t="s">
        <v>765</v>
      </c>
      <c r="L20" s="12"/>
      <c r="M20" s="13"/>
    </row>
    <row r="21" customFormat="false" ht="23.85" hidden="false" customHeight="false" outlineLevel="0" collapsed="false">
      <c r="A21" s="14" t="s">
        <v>766</v>
      </c>
      <c r="B21" s="15" t="s">
        <v>446</v>
      </c>
      <c r="C21" s="15" t="s">
        <v>767</v>
      </c>
      <c r="D21" s="15" t="s">
        <v>768</v>
      </c>
      <c r="E21" s="15" t="s">
        <v>769</v>
      </c>
      <c r="F21" s="15" t="s">
        <v>770</v>
      </c>
      <c r="G21" s="15" t="s">
        <v>63</v>
      </c>
      <c r="H21" s="15" t="s">
        <v>771</v>
      </c>
      <c r="I21" s="16" t="s">
        <v>49</v>
      </c>
      <c r="J21" s="16" t="s">
        <v>50</v>
      </c>
      <c r="K21" s="16" t="s">
        <v>765</v>
      </c>
      <c r="L21" s="17"/>
      <c r="M21" s="18"/>
    </row>
    <row r="22" customFormat="false" ht="23.85" hidden="false" customHeight="false" outlineLevel="0" collapsed="false">
      <c r="A22" s="9" t="s">
        <v>772</v>
      </c>
      <c r="B22" s="10" t="s">
        <v>446</v>
      </c>
      <c r="C22" s="10" t="s">
        <v>773</v>
      </c>
      <c r="D22" s="10" t="s">
        <v>774</v>
      </c>
      <c r="E22" s="10" t="s">
        <v>775</v>
      </c>
      <c r="F22" s="10" t="s">
        <v>776</v>
      </c>
      <c r="G22" s="10" t="s">
        <v>63</v>
      </c>
      <c r="H22" s="10" t="s">
        <v>777</v>
      </c>
      <c r="I22" s="11" t="s">
        <v>65</v>
      </c>
      <c r="J22" s="11" t="s">
        <v>58</v>
      </c>
      <c r="K22" s="11"/>
      <c r="L22" s="12"/>
      <c r="M22" s="13"/>
    </row>
    <row r="23" customFormat="false" ht="23.85" hidden="false" customHeight="false" outlineLevel="0" collapsed="false">
      <c r="A23" s="14" t="s">
        <v>778</v>
      </c>
      <c r="B23" s="15" t="s">
        <v>779</v>
      </c>
      <c r="C23" s="15" t="s">
        <v>780</v>
      </c>
      <c r="D23" s="15" t="s">
        <v>781</v>
      </c>
      <c r="E23" s="15" t="s">
        <v>782</v>
      </c>
      <c r="F23" s="15" t="s">
        <v>783</v>
      </c>
      <c r="G23" s="15" t="s">
        <v>63</v>
      </c>
      <c r="H23" s="15" t="s">
        <v>784</v>
      </c>
      <c r="I23" s="16" t="s">
        <v>49</v>
      </c>
      <c r="J23" s="16" t="s">
        <v>50</v>
      </c>
      <c r="K23" s="16" t="s">
        <v>332</v>
      </c>
      <c r="L23" s="17"/>
      <c r="M23" s="18"/>
    </row>
    <row r="24" customFormat="false" ht="23.85" hidden="false" customHeight="false" outlineLevel="0" collapsed="false">
      <c r="A24" s="9" t="s">
        <v>785</v>
      </c>
      <c r="B24" s="10" t="s">
        <v>779</v>
      </c>
      <c r="C24" s="10" t="s">
        <v>786</v>
      </c>
      <c r="D24" s="10" t="s">
        <v>787</v>
      </c>
      <c r="E24" s="10" t="s">
        <v>788</v>
      </c>
      <c r="F24" s="10" t="s">
        <v>789</v>
      </c>
      <c r="G24" s="10" t="s">
        <v>790</v>
      </c>
      <c r="H24" s="10" t="s">
        <v>791</v>
      </c>
      <c r="I24" s="11" t="s">
        <v>49</v>
      </c>
      <c r="J24" s="11" t="s">
        <v>50</v>
      </c>
      <c r="K24" s="11" t="s">
        <v>792</v>
      </c>
      <c r="L24" s="12"/>
      <c r="M24" s="13"/>
    </row>
    <row r="25" customFormat="false" ht="23.85" hidden="false" customHeight="false" outlineLevel="0" collapsed="false">
      <c r="A25" s="14" t="s">
        <v>793</v>
      </c>
      <c r="B25" s="15" t="s">
        <v>779</v>
      </c>
      <c r="C25" s="15" t="s">
        <v>794</v>
      </c>
      <c r="D25" s="15" t="s">
        <v>795</v>
      </c>
      <c r="E25" s="15" t="s">
        <v>796</v>
      </c>
      <c r="F25" s="15" t="s">
        <v>797</v>
      </c>
      <c r="G25" s="15" t="s">
        <v>63</v>
      </c>
      <c r="H25" s="15" t="s">
        <v>798</v>
      </c>
      <c r="I25" s="16" t="s">
        <v>49</v>
      </c>
      <c r="J25" s="16" t="s">
        <v>50</v>
      </c>
      <c r="K25" s="16" t="s">
        <v>332</v>
      </c>
      <c r="L25" s="17"/>
      <c r="M25" s="18"/>
    </row>
    <row r="26" customFormat="false" ht="23.85" hidden="false" customHeight="false" outlineLevel="0" collapsed="false">
      <c r="A26" s="9" t="s">
        <v>799</v>
      </c>
      <c r="B26" s="10" t="s">
        <v>779</v>
      </c>
      <c r="C26" s="10" t="s">
        <v>800</v>
      </c>
      <c r="D26" s="10" t="s">
        <v>801</v>
      </c>
      <c r="E26" s="10" t="s">
        <v>802</v>
      </c>
      <c r="F26" s="10" t="s">
        <v>803</v>
      </c>
      <c r="G26" s="10" t="s">
        <v>63</v>
      </c>
      <c r="H26" s="10" t="s">
        <v>804</v>
      </c>
      <c r="I26" s="11" t="s">
        <v>65</v>
      </c>
      <c r="J26" s="11" t="s">
        <v>174</v>
      </c>
      <c r="K26" s="11" t="s">
        <v>486</v>
      </c>
      <c r="L26" s="12"/>
      <c r="M26" s="13"/>
    </row>
    <row r="27" customFormat="false" ht="23.85" hidden="false" customHeight="false" outlineLevel="0" collapsed="false">
      <c r="A27" s="14" t="s">
        <v>805</v>
      </c>
      <c r="B27" s="15" t="s">
        <v>779</v>
      </c>
      <c r="C27" s="15" t="s">
        <v>806</v>
      </c>
      <c r="D27" s="15" t="s">
        <v>807</v>
      </c>
      <c r="E27" s="15" t="s">
        <v>808</v>
      </c>
      <c r="F27" s="15" t="s">
        <v>809</v>
      </c>
      <c r="G27" s="15" t="s">
        <v>810</v>
      </c>
      <c r="H27" s="15" t="s">
        <v>811</v>
      </c>
      <c r="I27" s="16" t="s">
        <v>65</v>
      </c>
      <c r="J27" s="16" t="s">
        <v>66</v>
      </c>
      <c r="K27" s="16"/>
      <c r="L27" s="17"/>
      <c r="M27" s="18"/>
    </row>
    <row r="28" customFormat="false" ht="23.85" hidden="false" customHeight="false" outlineLevel="0" collapsed="false">
      <c r="A28" s="9" t="s">
        <v>812</v>
      </c>
      <c r="B28" s="10" t="s">
        <v>813</v>
      </c>
      <c r="C28" s="10" t="s">
        <v>814</v>
      </c>
      <c r="D28" s="10" t="s">
        <v>815</v>
      </c>
      <c r="E28" s="10" t="s">
        <v>816</v>
      </c>
      <c r="F28" s="10" t="s">
        <v>817</v>
      </c>
      <c r="G28" s="10" t="s">
        <v>63</v>
      </c>
      <c r="H28" s="10" t="s">
        <v>818</v>
      </c>
      <c r="I28" s="11" t="s">
        <v>49</v>
      </c>
      <c r="J28" s="11" t="s">
        <v>50</v>
      </c>
      <c r="K28" s="11" t="s">
        <v>758</v>
      </c>
      <c r="L28" s="12"/>
      <c r="M28" s="13"/>
    </row>
    <row r="29" customFormat="false" ht="23.85" hidden="false" customHeight="false" outlineLevel="0" collapsed="false">
      <c r="A29" s="14" t="s">
        <v>819</v>
      </c>
      <c r="B29" s="15" t="s">
        <v>813</v>
      </c>
      <c r="C29" s="15" t="s">
        <v>820</v>
      </c>
      <c r="D29" s="15" t="s">
        <v>821</v>
      </c>
      <c r="E29" s="15" t="s">
        <v>732</v>
      </c>
      <c r="F29" s="15" t="s">
        <v>822</v>
      </c>
      <c r="G29" s="15" t="s">
        <v>823</v>
      </c>
      <c r="H29" s="15" t="s">
        <v>824</v>
      </c>
      <c r="I29" s="16" t="s">
        <v>49</v>
      </c>
      <c r="J29" s="16" t="s">
        <v>66</v>
      </c>
      <c r="K29" s="16" t="s">
        <v>758</v>
      </c>
      <c r="L29" s="17"/>
      <c r="M29" s="18"/>
    </row>
    <row r="30" customFormat="false" ht="23.85" hidden="false" customHeight="false" outlineLevel="0" collapsed="false">
      <c r="A30" s="9" t="s">
        <v>825</v>
      </c>
      <c r="B30" s="10" t="s">
        <v>813</v>
      </c>
      <c r="C30" s="10" t="s">
        <v>826</v>
      </c>
      <c r="D30" s="10" t="s">
        <v>827</v>
      </c>
      <c r="E30" s="10" t="s">
        <v>732</v>
      </c>
      <c r="F30" s="10" t="s">
        <v>828</v>
      </c>
      <c r="G30" s="10" t="s">
        <v>829</v>
      </c>
      <c r="H30" s="10" t="s">
        <v>830</v>
      </c>
      <c r="I30" s="11" t="s">
        <v>49</v>
      </c>
      <c r="J30" s="11" t="s">
        <v>66</v>
      </c>
      <c r="K30" s="11" t="s">
        <v>758</v>
      </c>
      <c r="L30" s="12"/>
      <c r="M30" s="13"/>
    </row>
    <row r="31" customFormat="false" ht="23.85" hidden="false" customHeight="false" outlineLevel="0" collapsed="false">
      <c r="A31" s="14" t="s">
        <v>831</v>
      </c>
      <c r="B31" s="15" t="s">
        <v>813</v>
      </c>
      <c r="C31" s="15" t="s">
        <v>832</v>
      </c>
      <c r="D31" s="15" t="s">
        <v>833</v>
      </c>
      <c r="E31" s="15" t="s">
        <v>834</v>
      </c>
      <c r="F31" s="15" t="s">
        <v>835</v>
      </c>
      <c r="G31" s="15" t="s">
        <v>63</v>
      </c>
      <c r="H31" s="15" t="s">
        <v>836</v>
      </c>
      <c r="I31" s="16" t="s">
        <v>65</v>
      </c>
      <c r="J31" s="16" t="s">
        <v>50</v>
      </c>
      <c r="K31" s="16" t="s">
        <v>758</v>
      </c>
      <c r="L31" s="17"/>
      <c r="M31" s="18"/>
    </row>
    <row r="32" customFormat="false" ht="23.85" hidden="false" customHeight="false" outlineLevel="0" collapsed="false">
      <c r="A32" s="9" t="s">
        <v>837</v>
      </c>
      <c r="B32" s="10" t="s">
        <v>838</v>
      </c>
      <c r="C32" s="10" t="s">
        <v>839</v>
      </c>
      <c r="D32" s="10" t="s">
        <v>840</v>
      </c>
      <c r="E32" s="10" t="s">
        <v>841</v>
      </c>
      <c r="F32" s="10" t="s">
        <v>842</v>
      </c>
      <c r="G32" s="10" t="s">
        <v>843</v>
      </c>
      <c r="H32" s="10" t="s">
        <v>844</v>
      </c>
      <c r="I32" s="11" t="s">
        <v>49</v>
      </c>
      <c r="J32" s="11" t="s">
        <v>66</v>
      </c>
      <c r="K32" s="11" t="s">
        <v>845</v>
      </c>
      <c r="L32" s="12"/>
      <c r="M32" s="13"/>
    </row>
    <row r="33" customFormat="false" ht="23.85" hidden="false" customHeight="false" outlineLevel="0" collapsed="false">
      <c r="A33" s="14" t="s">
        <v>846</v>
      </c>
      <c r="B33" s="15" t="s">
        <v>838</v>
      </c>
      <c r="C33" s="15" t="s">
        <v>847</v>
      </c>
      <c r="D33" s="15" t="s">
        <v>848</v>
      </c>
      <c r="E33" s="15" t="s">
        <v>849</v>
      </c>
      <c r="F33" s="15" t="s">
        <v>850</v>
      </c>
      <c r="G33" s="15" t="s">
        <v>63</v>
      </c>
      <c r="H33" s="15" t="s">
        <v>851</v>
      </c>
      <c r="I33" s="16" t="s">
        <v>65</v>
      </c>
      <c r="J33" s="16" t="s">
        <v>50</v>
      </c>
      <c r="K33" s="16" t="s">
        <v>845</v>
      </c>
      <c r="L33" s="17"/>
      <c r="M33" s="18"/>
    </row>
    <row r="34" customFormat="false" ht="23.85" hidden="false" customHeight="false" outlineLevel="0" collapsed="false">
      <c r="A34" s="9" t="s">
        <v>852</v>
      </c>
      <c r="B34" s="10" t="s">
        <v>838</v>
      </c>
      <c r="C34" s="10" t="s">
        <v>853</v>
      </c>
      <c r="D34" s="10" t="s">
        <v>854</v>
      </c>
      <c r="E34" s="10" t="s">
        <v>855</v>
      </c>
      <c r="F34" s="10" t="s">
        <v>856</v>
      </c>
      <c r="G34" s="10" t="s">
        <v>63</v>
      </c>
      <c r="H34" s="10" t="s">
        <v>857</v>
      </c>
      <c r="I34" s="11" t="s">
        <v>49</v>
      </c>
      <c r="J34" s="11" t="s">
        <v>66</v>
      </c>
      <c r="K34" s="11" t="s">
        <v>845</v>
      </c>
      <c r="L34" s="12"/>
      <c r="M34" s="13"/>
    </row>
    <row r="35" customFormat="false" ht="23.85" hidden="false" customHeight="false" outlineLevel="0" collapsed="false">
      <c r="A35" s="14" t="s">
        <v>858</v>
      </c>
      <c r="B35" s="15" t="s">
        <v>838</v>
      </c>
      <c r="C35" s="15" t="s">
        <v>859</v>
      </c>
      <c r="D35" s="15" t="s">
        <v>860</v>
      </c>
      <c r="E35" s="15" t="s">
        <v>861</v>
      </c>
      <c r="F35" s="15" t="s">
        <v>862</v>
      </c>
      <c r="G35" s="15" t="s">
        <v>63</v>
      </c>
      <c r="H35" s="15" t="s">
        <v>863</v>
      </c>
      <c r="I35" s="16" t="s">
        <v>49</v>
      </c>
      <c r="J35" s="16" t="s">
        <v>66</v>
      </c>
      <c r="K35" s="16" t="s">
        <v>845</v>
      </c>
      <c r="L35" s="17"/>
      <c r="M35" s="18"/>
    </row>
    <row r="36" customFormat="false" ht="23.85" hidden="false" customHeight="false" outlineLevel="0" collapsed="false">
      <c r="A36" s="9" t="s">
        <v>864</v>
      </c>
      <c r="B36" s="10" t="s">
        <v>838</v>
      </c>
      <c r="C36" s="10" t="s">
        <v>865</v>
      </c>
      <c r="D36" s="10" t="s">
        <v>866</v>
      </c>
      <c r="E36" s="10" t="s">
        <v>867</v>
      </c>
      <c r="F36" s="10" t="s">
        <v>868</v>
      </c>
      <c r="G36" s="10" t="s">
        <v>869</v>
      </c>
      <c r="H36" s="10" t="s">
        <v>870</v>
      </c>
      <c r="I36" s="11" t="s">
        <v>65</v>
      </c>
      <c r="J36" s="11" t="s">
        <v>50</v>
      </c>
      <c r="K36" s="11" t="s">
        <v>845</v>
      </c>
      <c r="L36" s="12"/>
      <c r="M36" s="13"/>
    </row>
    <row r="37" customFormat="false" ht="23.85" hidden="false" customHeight="false" outlineLevel="0" collapsed="false">
      <c r="A37" s="14" t="s">
        <v>871</v>
      </c>
      <c r="B37" s="15" t="s">
        <v>872</v>
      </c>
      <c r="C37" s="15" t="s">
        <v>873</v>
      </c>
      <c r="D37" s="15" t="s">
        <v>874</v>
      </c>
      <c r="E37" s="15" t="s">
        <v>732</v>
      </c>
      <c r="F37" s="15" t="s">
        <v>875</v>
      </c>
      <c r="G37" s="15" t="s">
        <v>63</v>
      </c>
      <c r="H37" s="15" t="s">
        <v>876</v>
      </c>
      <c r="I37" s="16" t="s">
        <v>49</v>
      </c>
      <c r="J37" s="16" t="s">
        <v>50</v>
      </c>
      <c r="K37" s="16"/>
      <c r="L37" s="17"/>
      <c r="M37" s="18"/>
    </row>
    <row r="38" customFormat="false" ht="23.85" hidden="false" customHeight="false" outlineLevel="0" collapsed="false">
      <c r="A38" s="9" t="s">
        <v>877</v>
      </c>
      <c r="B38" s="10" t="s">
        <v>872</v>
      </c>
      <c r="C38" s="10" t="s">
        <v>878</v>
      </c>
      <c r="D38" s="10" t="s">
        <v>879</v>
      </c>
      <c r="E38" s="10" t="s">
        <v>880</v>
      </c>
      <c r="F38" s="10" t="s">
        <v>881</v>
      </c>
      <c r="G38" s="10" t="s">
        <v>63</v>
      </c>
      <c r="H38" s="10" t="s">
        <v>882</v>
      </c>
      <c r="I38" s="11" t="s">
        <v>65</v>
      </c>
      <c r="J38" s="11" t="s">
        <v>50</v>
      </c>
      <c r="K38" s="11"/>
      <c r="L38" s="12"/>
      <c r="M38" s="13"/>
    </row>
    <row r="39" customFormat="false" ht="23.85" hidden="false" customHeight="false" outlineLevel="0" collapsed="false">
      <c r="A39" s="14" t="s">
        <v>883</v>
      </c>
      <c r="B39" s="15" t="s">
        <v>884</v>
      </c>
      <c r="C39" s="15" t="s">
        <v>885</v>
      </c>
      <c r="D39" s="15" t="s">
        <v>886</v>
      </c>
      <c r="E39" s="15" t="s">
        <v>887</v>
      </c>
      <c r="F39" s="15" t="s">
        <v>888</v>
      </c>
      <c r="G39" s="15" t="s">
        <v>63</v>
      </c>
      <c r="H39" s="15" t="s">
        <v>889</v>
      </c>
      <c r="I39" s="16" t="s">
        <v>49</v>
      </c>
      <c r="J39" s="16" t="s">
        <v>50</v>
      </c>
      <c r="K39" s="16" t="s">
        <v>890</v>
      </c>
      <c r="L39" s="17"/>
      <c r="M39" s="18"/>
    </row>
    <row r="40" customFormat="false" ht="23.85" hidden="false" customHeight="false" outlineLevel="0" collapsed="false">
      <c r="A40" s="9" t="s">
        <v>891</v>
      </c>
      <c r="B40" s="10" t="s">
        <v>884</v>
      </c>
      <c r="C40" s="10" t="s">
        <v>892</v>
      </c>
      <c r="D40" s="10" t="s">
        <v>893</v>
      </c>
      <c r="E40" s="10" t="s">
        <v>894</v>
      </c>
      <c r="F40" s="10" t="s">
        <v>895</v>
      </c>
      <c r="G40" s="10" t="s">
        <v>63</v>
      </c>
      <c r="H40" s="10" t="s">
        <v>896</v>
      </c>
      <c r="I40" s="11" t="s">
        <v>65</v>
      </c>
      <c r="J40" s="11" t="s">
        <v>50</v>
      </c>
      <c r="K40" s="11" t="s">
        <v>890</v>
      </c>
      <c r="L40" s="12"/>
      <c r="M40" s="13"/>
    </row>
    <row r="41" customFormat="false" ht="23.85" hidden="false" customHeight="false" outlineLevel="0" collapsed="false">
      <c r="A41" s="14" t="s">
        <v>897</v>
      </c>
      <c r="B41" s="15" t="s">
        <v>884</v>
      </c>
      <c r="C41" s="15" t="s">
        <v>898</v>
      </c>
      <c r="D41" s="15" t="s">
        <v>899</v>
      </c>
      <c r="E41" s="15" t="s">
        <v>894</v>
      </c>
      <c r="F41" s="15" t="s">
        <v>900</v>
      </c>
      <c r="G41" s="15" t="s">
        <v>63</v>
      </c>
      <c r="H41" s="15" t="s">
        <v>901</v>
      </c>
      <c r="I41" s="16" t="s">
        <v>65</v>
      </c>
      <c r="J41" s="16" t="s">
        <v>66</v>
      </c>
      <c r="K41" s="16" t="s">
        <v>890</v>
      </c>
      <c r="L41" s="17"/>
      <c r="M41" s="18"/>
    </row>
    <row r="42" customFormat="false" ht="15" hidden="false" customHeight="false" outlineLevel="0" collapsed="false">
      <c r="A42" s="9" t="s">
        <v>902</v>
      </c>
      <c r="B42" s="10" t="s">
        <v>884</v>
      </c>
      <c r="C42" s="10" t="s">
        <v>903</v>
      </c>
      <c r="D42" s="10" t="s">
        <v>904</v>
      </c>
      <c r="E42" s="10" t="s">
        <v>905</v>
      </c>
      <c r="F42" s="10" t="s">
        <v>906</v>
      </c>
      <c r="G42" s="10" t="s">
        <v>63</v>
      </c>
      <c r="H42" s="10" t="s">
        <v>907</v>
      </c>
      <c r="I42" s="11" t="s">
        <v>196</v>
      </c>
      <c r="J42" s="11" t="s">
        <v>50</v>
      </c>
      <c r="K42" s="11"/>
      <c r="L42" s="12"/>
      <c r="M42" s="13"/>
    </row>
  </sheetData>
  <autoFilter ref="A1:M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2026-07-23T12:04:20Z</dcterms:created>
  <dc:creator>openpyxl</dc:creator>
  <dc:description/>
  <dc:language>en-US</dc:language>
  <cp:lastModifiedBy/>
  <dcterms:modified xsi:type="dcterms:W3CDTF">2026-07-23T12:04:20Z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