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Results" sheetId="1" state="visible" r:id="rId3"/>
    <sheet name="Summary" sheetId="2" state="visible" r:id="rId4"/>
    <sheet name="How to fake a punch" sheetId="3" state="visible" r:id="rId5"/>
  </sheets>
  <definedNames>
    <definedName function="false" hidden="true" localSheetId="0" name="_xlnm._FilterDatabase" vbProcedure="false">'Test Results'!$A$5:$K$49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<sst xmlns="http://schemas.openxmlformats.org/spreadsheetml/2006/main" count="318" uniqueCount="243">
  <si>
    <t xml:space="preserve">SmartEPT - Gate-to-PC Manual Test Results</t>
  </si>
  <si>
    <t xml:space="preserve">Fill in the four shaded columns (Result, Tested by, Date, Notes). Everything else is the script - please don't change it.</t>
  </si>
  <si>
    <t xml:space="preserve">Companion document: SmartEPT-Gate-Manual-Test-Plan-2026-08-19.pdf - read section 4 before starting.</t>
  </si>
  <si>
    <t xml:space="preserve">ID</t>
  </si>
  <si>
    <t xml:space="preserve">Group</t>
  </si>
  <si>
    <t xml:space="preserve">Test case</t>
  </si>
  <si>
    <t xml:space="preserve">Severity</t>
  </si>
  <si>
    <t xml:space="preserve">Setup / preconditions</t>
  </si>
  <si>
    <t xml:space="preserve">Steps</t>
  </si>
  <si>
    <t xml:space="preserve">Expected result</t>
  </si>
  <si>
    <t xml:space="preserve">Result</t>
  </si>
  <si>
    <t xml:space="preserve">Tested by</t>
  </si>
  <si>
    <t xml:space="preserve">Date</t>
  </si>
  <si>
    <t xml:space="preserve">Notes / what actually happened</t>
  </si>
  <si>
    <t xml:space="preserve">Group A - Attendance source — the reported bug</t>
  </si>
  <si>
    <t xml:space="preserve">A1</t>
  </si>
  <si>
    <t xml:space="preserve">A</t>
  </si>
  <si>
    <t xml:space="preserve">Baseline: a gated company walls the agent</t>
  </si>
  <si>
    <t xml:space="preserve">Critical</t>
  </si>
  <si>
    <t xml:space="preserve">Org = With biometric device; Gate mode = Always ON; Employee A has no punch today.</t>
  </si>
  <si>
    <t xml:space="preserve">Sign the agent in as Employee A on the test PC.</t>
  </si>
  <si>
    <t xml:space="preserve">Agent shows "Punch in at the door to start". No work session begins.</t>
  </si>
  <si>
    <t xml:space="preserve">A2</t>
  </si>
  <si>
    <t xml:space="preserve">Switching to Without biometric device releases the agent</t>
  </si>
  <si>
    <t xml:space="preserve">Continue from A1, agent still showing the wall.</t>
  </si>
  <si>
    <t xml:space="preserve">Organisation -&gt; Attendance source -&gt; Without biometric device -&gt; Save. Do not restart the agent.</t>
  </si>
  <si>
    <t xml:space="preserve">Within ~15s the wall disappears by itself and the session starts. No restart / unbind / re-login needed.</t>
  </si>
  <si>
    <t xml:space="preserve">A3</t>
  </si>
  <si>
    <t xml:space="preserve">Biometric and Gate Exclusions menus hide themselves</t>
  </si>
  <si>
    <t xml:space="preserve">Medium</t>
  </si>
  <si>
    <t xml:space="preserve">Still on Without biometric device.</t>
  </si>
  <si>
    <t xml:space="preserve">Hard-refresh the console (Ctrl+F5), sign in, look at the sidebar.</t>
  </si>
  <si>
    <t xml:space="preserve">Biometric and Gate Exclusions are both absent. All other menus unchanged.</t>
  </si>
  <si>
    <t xml:space="preserve">A4</t>
  </si>
  <si>
    <t xml:space="preserve">Switching back restores the gate</t>
  </si>
  <si>
    <t xml:space="preserve">High</t>
  </si>
  <si>
    <t xml:space="preserve">-</t>
  </si>
  <si>
    <t xml:space="preserve">Organisation -&gt; With biometric device -&gt; Save. Hard-refresh. Watch the agent.</t>
  </si>
  <si>
    <t xml:space="preserve">Both menus reappear. Within ~15s the agent shows the wall again.</t>
  </si>
  <si>
    <t xml:space="preserve">A5</t>
  </si>
  <si>
    <t xml:space="preserve">Leftover reader records do not keep the gate on</t>
  </si>
  <si>
    <t xml:space="preserve">A biometric device is configured and Active (do NOT delete it). Gate mode = Always ON.</t>
  </si>
  <si>
    <t xml:space="preserve">Organisation -&gt; Without biometric device -&gt; Save. Watch the agent.</t>
  </si>
  <si>
    <t xml:space="preserve">Agent released within ~15s despite the device record and the Always ON setting.</t>
  </si>
  <si>
    <t xml:space="preserve">Group B - The Gate Exclusions screen</t>
  </si>
  <si>
    <t xml:space="preserve">B1</t>
  </si>
  <si>
    <t xml:space="preserve">B</t>
  </si>
  <si>
    <t xml:space="preserve">The menu is in the right place</t>
  </si>
  <si>
    <t xml:space="preserve">Low</t>
  </si>
  <si>
    <t xml:space="preserve">Look at the sidebar under Manage. Click Gate Exclusions.</t>
  </si>
  <si>
    <t xml:space="preserve">Appears directly below Biometric. Screen opens, titled Gate Exclusions.</t>
  </si>
  <si>
    <t xml:space="preserve">B2</t>
  </si>
  <si>
    <t xml:space="preserve">The status card tells the truth</t>
  </si>
  <si>
    <t xml:space="preserve">Gate mode = Always ON.</t>
  </si>
  <si>
    <t xml:space="preserve">Read the top card. Then set Gate mode = OFF, Save, return and re-read.</t>
  </si>
  <si>
    <t xml:space="preserve">First: Gate-to-PC is ON (green). Then: Gate-to-PC is OFF (amber) with a warning that exclusions have no effect.</t>
  </si>
  <si>
    <t xml:space="preserve">B3</t>
  </si>
  <si>
    <t xml:space="preserve">Empty state</t>
  </si>
  <si>
    <t xml:space="preserve">No exclusions created yet.</t>
  </si>
  <si>
    <t xml:space="preserve">Look at the table.</t>
  </si>
  <si>
    <t xml:space="preserve">Plain-language message that there are no exclusions - not a blank table, not an error.</t>
  </si>
  <si>
    <t xml:space="preserve">B4</t>
  </si>
  <si>
    <t xml:space="preserve">Create an exclusion for one employee</t>
  </si>
  <si>
    <t xml:space="preserve">+ Add exclusion -&gt; Employee -&gt; Employee A -&gt; Excluded -&gt; no dates -&gt; reason -&gt; Save.</t>
  </si>
  <si>
    <t xml:space="preserve">Row appears: Employee, name, Excluded, dashes for dates, Status Active, your reason, your name under Granted by.</t>
  </si>
  <si>
    <t xml:space="preserve">B5</t>
  </si>
  <si>
    <t xml:space="preserve">The excluded employee is released</t>
  </si>
  <si>
    <t xml:space="preserve">B4 done; Employee A has no punch today.</t>
  </si>
  <si>
    <t xml:space="preserve">Watch the agent for 20 seconds.</t>
  </si>
  <si>
    <t xml:space="preserve">Wall disappears within ~15s; work session starts.</t>
  </si>
  <si>
    <t xml:space="preserve">B6</t>
  </si>
  <si>
    <t xml:space="preserve">Removing the exclusion re-gates them</t>
  </si>
  <si>
    <t xml:space="preserve">B5 done.</t>
  </si>
  <si>
    <t xml:space="preserve">Gate Exclusions -&gt; Remove -&gt; confirm. Watch the agent.</t>
  </si>
  <si>
    <t xml:space="preserve">Row disappears. Within ~15s the agent shows the wall again.</t>
  </si>
  <si>
    <t xml:space="preserve">Group C - Levels and precedence</t>
  </si>
  <si>
    <t xml:space="preserve">C1</t>
  </si>
  <si>
    <t xml:space="preserve">C</t>
  </si>
  <si>
    <t xml:space="preserve">A branch exclusion covers everyone at that site</t>
  </si>
  <si>
    <t xml:space="preserve">No other exclusions.</t>
  </si>
  <si>
    <t xml:space="preserve">+ Add exclusion -&gt; Branch -&gt; Employee A's branch -&gt; Excluded -&gt; Save. Watch the agent.</t>
  </si>
  <si>
    <t xml:space="preserve">Agent released within ~15s, with no personal exclusion on Employee A.</t>
  </si>
  <si>
    <t xml:space="preserve">C2</t>
  </si>
  <si>
    <t xml:space="preserve">A team marked Required stays behind the gate</t>
  </si>
  <si>
    <t xml:space="preserve">C1 in place, Employee A working.</t>
  </si>
  <si>
    <t xml:space="preserve">+ Add exclusion -&gt; Team -&gt; Employee A's team -&gt; Required -&gt; Save. Watch the agent.</t>
  </si>
  <si>
    <t xml:space="preserve">Within ~15s the agent returns to the wall, even though the branch above is Excluded.</t>
  </si>
  <si>
    <t xml:space="preserve">C3</t>
  </si>
  <si>
    <t xml:space="preserve">A personal exclusion beats the team requirement</t>
  </si>
  <si>
    <t xml:space="preserve">C1 and C2 both in place.</t>
  </si>
  <si>
    <t xml:space="preserve">+ Add exclusion -&gt; Employee -&gt; Employee A -&gt; Excluded -&gt; Save. Watch the agent.</t>
  </si>
  <si>
    <t xml:space="preserve">Released within ~15s. Employee is more specific than Team.</t>
  </si>
  <si>
    <t xml:space="preserve">C4</t>
  </si>
  <si>
    <t xml:space="preserve">Colleagues are NOT affected</t>
  </si>
  <si>
    <t xml:space="preserve">Remove the Branch and Team rows. Leave only Employee A's personal exclusion.</t>
  </si>
  <si>
    <t xml:space="preserve">Sign the agent in as Employee B (no punch today).</t>
  </si>
  <si>
    <t xml:space="preserve">Employee B sees the wall. The exclusion must not leak to anyone else.</t>
  </si>
  <si>
    <t xml:space="preserve">C5</t>
  </si>
  <si>
    <t xml:space="preserve">One machine only</t>
  </si>
  <si>
    <t xml:space="preserve">+ Add exclusion -&gt; Machine -&gt; the test PC -&gt; Excluded -&gt; Save. Watch the agent.</t>
  </si>
  <si>
    <t xml:space="preserve">Released within ~15s. Then remove it.</t>
  </si>
  <si>
    <t xml:space="preserve">Group D - Dates</t>
  </si>
  <si>
    <t xml:space="preserve">D1</t>
  </si>
  <si>
    <t xml:space="preserve">D</t>
  </si>
  <si>
    <t xml:space="preserve">A future-dated exclusion does nothing yet</t>
  </si>
  <si>
    <t xml:space="preserve">No other exclusions; Employee A walled.</t>
  </si>
  <si>
    <t xml:space="preserve">Add: Employee A, Excluded, Valid from = tomorrow, Valid until = a week from tomorrow.</t>
  </si>
  <si>
    <t xml:space="preserve">Status reads Scheduled. Agent stays on the wall.</t>
  </si>
  <si>
    <t xml:space="preserve">D2</t>
  </si>
  <si>
    <t xml:space="preserve">An exclusion covering today applies</t>
  </si>
  <si>
    <t xml:space="preserve">D1 row exists.</t>
  </si>
  <si>
    <t xml:space="preserve">Edit the row -&gt; Valid from = today -&gt; Save.</t>
  </si>
  <si>
    <t xml:space="preserve">Status changes to Active; agent released within ~15s.</t>
  </si>
  <si>
    <t xml:space="preserve">D3</t>
  </si>
  <si>
    <t xml:space="preserve">An exclusion whose end date has passed does nothing</t>
  </si>
  <si>
    <t xml:space="preserve">D2 row exists.</t>
  </si>
  <si>
    <t xml:space="preserve">Edit -&gt; Valid from = a week ago, Valid until = yesterday -&gt; Save.</t>
  </si>
  <si>
    <t xml:space="preserve">Status reads Expired; agent returns to the wall within ~15s.</t>
  </si>
  <si>
    <t xml:space="preserve">D4</t>
  </si>
  <si>
    <t xml:space="preserve">An exclusion ending today still works all of today</t>
  </si>
  <si>
    <t xml:space="preserve">D3 row exists.</t>
  </si>
  <si>
    <t xml:space="preserve">Edit -&gt; Valid from = a week ago, Valid until = today -&gt; Save.</t>
  </si>
  <si>
    <t xml:space="preserve">Status Active; agent released. The end date is inclusive.</t>
  </si>
  <si>
    <t xml:space="preserve">D5</t>
  </si>
  <si>
    <t xml:space="preserve">Expiry happens at LOCAL midnight - overnight check</t>
  </si>
  <si>
    <t xml:space="preserve">Leave the D4 exclusion (until = today) and the agent running overnight.</t>
  </si>
  <si>
    <t xml:space="preserve">Check once in the evening after 18:30 and again next morning before 09:30. Record both times.</t>
  </si>
  <si>
    <t xml:space="preserve">Evening: still Active and working. Next morning: Expired and walled. The change happens around local midnight - NOT at 05:30, not at 18:30.</t>
  </si>
  <si>
    <t xml:space="preserve">D6</t>
  </si>
  <si>
    <t xml:space="preserve">An end date before the start date is refused</t>
  </si>
  <si>
    <t xml:space="preserve">Try to save with Valid from = next Friday and Valid until = today.</t>
  </si>
  <si>
    <t xml:space="preserve">Clear error message; nothing is saved.</t>
  </si>
  <si>
    <t xml:space="preserve">D7</t>
  </si>
  <si>
    <t xml:space="preserve">Blank dates mean permanent</t>
  </si>
  <si>
    <t xml:space="preserve">Clear both date fields on the row and Save.</t>
  </si>
  <si>
    <t xml:space="preserve">Status Active, dashes for both dates, agent released, stays that way.</t>
  </si>
  <si>
    <t xml:space="preserve">Group E - Reason and accountability</t>
  </si>
  <si>
    <t xml:space="preserve">E1</t>
  </si>
  <si>
    <t xml:space="preserve">E</t>
  </si>
  <si>
    <t xml:space="preserve">The reason and the grantor are shown</t>
  </si>
  <si>
    <t xml:space="preserve">Create any exclusion with a reason. Read the row.</t>
  </si>
  <si>
    <t xml:space="preserve">Reason shows exactly what you typed. Granted by shows your own name.</t>
  </si>
  <si>
    <t xml:space="preserve">E2</t>
  </si>
  <si>
    <t xml:space="preserve">Whoever changes it becomes accountable for it</t>
  </si>
  <si>
    <t xml:space="preserve">E1 row, created by you, Valid until = tomorrow.</t>
  </si>
  <si>
    <t xml:space="preserve">Sign out. Sign in as a DIFFERENT admin (HR Admin). Edit the row -&gt; Valid until = next week -&gt; Save.</t>
  </si>
  <si>
    <t xml:space="preserve">Granted by now shows the second admin. Setting still Excluded and reason unchanged - extending must not remove it.</t>
  </si>
  <si>
    <t xml:space="preserve">E3</t>
  </si>
  <si>
    <t xml:space="preserve">Removing an exclusion clears everything with it</t>
  </si>
  <si>
    <t xml:space="preserve">Remove the row, then create a fresh exclusion on the same person with no reason and no dates.</t>
  </si>
  <si>
    <t xml:space="preserve">New row shows dashes for reason and dates. No leftovers.</t>
  </si>
  <si>
    <t xml:space="preserve">E4</t>
  </si>
  <si>
    <t xml:space="preserve">The change is in the audit log</t>
  </si>
  <si>
    <t xml:space="preserve">Audit &amp; Ops -&gt; look for entries around the times you created / removed exclusions.</t>
  </si>
  <si>
    <t xml:space="preserve">Changes appear as update entries against the employee / branch, attributed to the right admin.</t>
  </si>
  <si>
    <t xml:space="preserve">Group F - Robustness - the defects found in review</t>
  </si>
  <si>
    <t xml:space="preserve">F1</t>
  </si>
  <si>
    <t xml:space="preserve">F</t>
  </si>
  <si>
    <t xml:space="preserve">A name with an apostrophe does not break the screen</t>
  </si>
  <si>
    <t xml:space="preserve">Rename a test branch to O'Brien Site, give it an exclusion, press Remove. Also try a name with a double quote and one containing &lt;b&gt;test&lt;/b&gt;.</t>
  </si>
  <si>
    <t xml:space="preserve">Name displays correctly as plain text, the confirm prompt shows it, Remove works. No error, nothing strange on screen.</t>
  </si>
  <si>
    <t xml:space="preserve">F2</t>
  </si>
  <si>
    <t xml:space="preserve">Deleting a branch re-gates its staff</t>
  </si>
  <si>
    <t xml:space="preserve">A throwaway test branch with an exclusion covering Employee A; agent released.</t>
  </si>
  <si>
    <t xml:space="preserve">Organisation -&gt; Branches -&gt; Delete that branch. Watch the agent.</t>
  </si>
  <si>
    <t xml:space="preserve">Within ~15s the agent returns to the wall. Row disappears from Gate Exclusions.</t>
  </si>
  <si>
    <t xml:space="preserve">F3</t>
  </si>
  <si>
    <t xml:space="preserve">A retired PC stops locking out its former user</t>
  </si>
  <si>
    <t xml:space="preserve">Employee A Excluded; test PC Machine-level Required; agent walled.</t>
  </si>
  <si>
    <t xml:space="preserve">Devices -&gt; unbind the test PC. Watch the agent / sign in again.</t>
  </si>
  <si>
    <t xml:space="preserve">The Required no longer applies; Employee A's own exclusion takes effect and they can work.</t>
  </si>
  <si>
    <t xml:space="preserve">F4</t>
  </si>
  <si>
    <t xml:space="preserve">Super Admin can open the screen</t>
  </si>
  <si>
    <t xml:space="preserve">Sign in as Super Admin. Open Gate Exclusions.</t>
  </si>
  <si>
    <t xml:space="preserve">Screen loads with no error message in the table area.</t>
  </si>
  <si>
    <t xml:space="preserve">F5</t>
  </si>
  <si>
    <t xml:space="preserve">Ordinary employees cannot see or change any of this</t>
  </si>
  <si>
    <t xml:space="preserve">Sign in to the console with a plain Employee self-service login.</t>
  </si>
  <si>
    <t xml:space="preserve">No Gate Exclusions menu, no Biometric menu, no way to change a gate setting. Only their own read-only tabs.</t>
  </si>
  <si>
    <t xml:space="preserve">F6</t>
  </si>
  <si>
    <t xml:space="preserve">Monitoring still works for an excluded employee</t>
  </si>
  <si>
    <t xml:space="preserve">Employee A excluded and working.</t>
  </si>
  <si>
    <t xml:space="preserve">Leave the agent running 10 minutes with normal activity. Check Live Dashboard, Screenshots, Usage &amp; Compliance.</t>
  </si>
  <si>
    <t xml:space="preserve">Employee A active, screenshots arriving (if policy enables them), app/web usage recorded - as for anyone else.</t>
  </si>
  <si>
    <t xml:space="preserve">Group G - Nothing else broke</t>
  </si>
  <si>
    <t xml:space="preserve">G1</t>
  </si>
  <si>
    <t xml:space="preserve">G</t>
  </si>
  <si>
    <t xml:space="preserve">A normal punch still opens the gate</t>
  </si>
  <si>
    <t xml:space="preserve">All exclusions removed; Employee A walled.</t>
  </si>
  <si>
    <t xml:space="preserve">Import an IN punch for TEST-A dated now. Watch the agent.</t>
  </si>
  <si>
    <t xml:space="preserve">Released within ~15s plus sync time. Punch log shows it; Attendance shows the check-in.</t>
  </si>
  <si>
    <t xml:space="preserve">G2</t>
  </si>
  <si>
    <t xml:space="preserve">A punch that arrives late is still recorded</t>
  </si>
  <si>
    <t xml:space="preserve">Employee A excluded and already working.</t>
  </si>
  <si>
    <t xml:space="preserve">Import an IN punch for TEST-A timestamped earlier this morning. Check Attendance for today.</t>
  </si>
  <si>
    <t xml:space="preserve">Punch appears in the log and in today's attendance record. Being excluded did not stop it being recorded.</t>
  </si>
  <si>
    <t xml:space="preserve">G3</t>
  </si>
  <si>
    <t xml:space="preserve">The mid-day out-punch behaviour is unchanged</t>
  </si>
  <si>
    <t xml:space="preserve">No exclusion; Employee A punched in and working.</t>
  </si>
  <si>
    <t xml:space="preserve">Import an OUT punch dated now; wait; import an IN punch a few minutes later.</t>
  </si>
  <si>
    <t xml:space="preserve">Same as before this release - an out-of-office break opens on the OUT and closes on the return IN.</t>
  </si>
  <si>
    <t xml:space="preserve">G4</t>
  </si>
  <si>
    <t xml:space="preserve">The emergency override still works</t>
  </si>
  <si>
    <t xml:space="preserve">No exclusions; Employee A walled.</t>
  </si>
  <si>
    <t xml:space="preserve">An admin issues the emergency gate override for Employee A, with a reason. Watch the agent.</t>
  </si>
  <si>
    <t xml:space="preserve">Released within ~15s; the override is recorded against the approving admin.</t>
  </si>
  <si>
    <t xml:space="preserve">Run summary</t>
  </si>
  <si>
    <t xml:space="preserve">These count themselves from the Test Results tab. Fill in the run details and the recommendation.</t>
  </si>
  <si>
    <t xml:space="preserve">Total test cases</t>
  </si>
  <si>
    <t xml:space="preserve">Passed</t>
  </si>
  <si>
    <t xml:space="preserve">Failed</t>
  </si>
  <si>
    <t xml:space="preserve">Blocked</t>
  </si>
  <si>
    <t xml:space="preserve">Not yet run</t>
  </si>
  <si>
    <t xml:space="preserve">Critical cases failed</t>
  </si>
  <si>
    <t xml:space="preserve">Run details</t>
  </si>
  <si>
    <t xml:space="preserve">e.g. Ravi Sharma</t>
  </si>
  <si>
    <t xml:space="preserve">Date started</t>
  </si>
  <si>
    <t xml:space="preserve">Date finished</t>
  </si>
  <si>
    <t xml:space="preserve">Console build / version</t>
  </si>
  <si>
    <t xml:space="preserve">Agent version</t>
  </si>
  <si>
    <t xml:space="preserve">Environment (URL)</t>
  </si>
  <si>
    <t xml:space="preserve">Recommendation</t>
  </si>
  <si>
    <t xml:space="preserve">Choose one:</t>
  </si>
  <si>
    <t xml:space="preserve">Anything else we should know</t>
  </si>
  <si>
    <t xml:space="preserve">If A2 fails, stop the whole run and tell the team straight away - that is the case the entire fix exists for.</t>
  </si>
  <si>
    <t xml:space="preserve">Simulating a door punch - no reader needed</t>
  </si>
  <si>
    <t xml:space="preserve">Step 1 - map each test employee (once only)</t>
  </si>
  <si>
    <t xml:space="preserve">Biometric screen -&gt; 'Map biometric ID -&gt; employee'. Enter a made-up device ID and pick the employee.</t>
  </si>
  <si>
    <t xml:space="preserve">Use TEST-A for Employee A and TEST-B for Employee B. Save each one.</t>
  </si>
  <si>
    <t xml:space="preserve">Step 2 - import a punch whenever a case needs one</t>
  </si>
  <si>
    <t xml:space="preserve">Create punch.csv in Notepad with exactly these two lines (change the date and time to now):</t>
  </si>
  <si>
    <t xml:space="preserve">biometric_employee_id,punch_type,punched_at</t>
  </si>
  <si>
    <t xml:space="preserve">TEST-A,IN,2026-08-19 09:05:00</t>
  </si>
  <si>
    <t xml:space="preserve">Biometric screen -&gt; 'Import punches (CSV)' -&gt; choose the file -&gt; Import.</t>
  </si>
  <si>
    <t xml:space="preserve">You should see: Imported 1 punches. The punch appears in the Punch log and the employee's gate opens.</t>
  </si>
  <si>
    <t xml:space="preserve">Notes</t>
  </si>
  <si>
    <t xml:space="preserve">Use OUT in the punch_type column to punch out.</t>
  </si>
  <si>
    <t xml:space="preserve">To test 'no punch today', simply do not import one - and if you already have, use a date in the past.</t>
  </si>
  <si>
    <t xml:space="preserve">The header row is required. Keep the file handy; you will use it repeatedly.</t>
  </si>
  <si>
    <t xml:space="preserve">Reading the agent</t>
  </si>
  <si>
    <t xml:space="preserve">Gate CLOSED: full-screen panel headed 'Punch in at the door to start', pulsing 'Waiting for your gate punch...'.</t>
  </si>
  <si>
    <t xml:space="preserve">Gate OPEN: that panel disappears and the normal dashboard appears.</t>
  </si>
  <si>
    <t xml:space="preserve">The agent re-checks every 15 seconds - after any console change, watch it for at least 20 seconds before calling a failure.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</si>
</sst>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75B61"/>
      <name val="Arial"/>
      <family val="0"/>
      <charset val="1"/>
    </font>
    <font>
      <i val="true"/>
      <sz val="9.5"/>
      <color rgb="FF5A6B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.5"/>
      <color rgb="FF075B61"/>
      <name val="Arial"/>
      <family val="0"/>
      <charset val="1"/>
    </font>
    <font>
      <b val="true"/>
      <sz val="9.5"/>
      <name val="Arial"/>
      <family val="0"/>
      <charset val="1"/>
    </font>
    <font>
      <sz val="9.5"/>
      <name val="Arial"/>
      <family val="0"/>
      <charset val="1"/>
    </font>
    <font>
      <sz val="10.5"/>
      <name val="Arial"/>
      <family val="0"/>
      <charset val="1"/>
    </font>
    <font>
      <b val="true"/>
      <sz val="10.5"/>
      <name val="Arial"/>
      <family val="0"/>
      <charset val="1"/>
    </font>
    <font>
      <b val="true"/>
      <sz val="12"/>
      <color rgb="FF075B61"/>
      <name val="Arial"/>
      <family val="0"/>
      <charset val="1"/>
    </font>
    <font>
      <i val="true"/>
      <sz val="10.5"/>
      <color rgb="FF9AA7AB"/>
      <name val="Arial"/>
      <family val="0"/>
      <charset val="1"/>
    </font>
    <font>
      <sz val="10.5"/>
      <color rgb="FF101820"/>
      <name val="Arial"/>
      <family val="0"/>
      <charset val="1"/>
    </font>
    <font>
      <b val="true"/>
      <sz val="10"/>
      <color rgb="FFA81D3A"/>
      <name val="Arial"/>
      <family val="0"/>
      <charset val="1"/>
    </font>
    <font>
      <sz val="10"/>
      <color rgb="FF101820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01820"/>
        <bgColor rgb="FF000000"/>
      </patternFill>
    </fill>
    <fill>
      <patternFill patternType="solid">
        <fgColor rgb="FFE8F4F5"/>
        <bgColor rgb="FFEFF8F3"/>
      </patternFill>
    </fill>
    <fill>
      <patternFill patternType="solid">
        <fgColor rgb="FFFFF9DB"/>
        <bgColor rgb="FFFFF4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D9"/>
      </left>
      <right style="thin">
        <color rgb="FFCBD5D9"/>
      </right>
      <top style="thin">
        <color rgb="FFCBD5D9"/>
      </top>
      <bottom style="thin">
        <color rgb="FFCBD5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01820"/>
          <bgColor rgb="FF000000"/>
        </patternFill>
      </fill>
    </dxf>
    <dxf>
      <fill>
        <patternFill patternType="solid">
          <fgColor rgb="FFE8F4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75B6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>
          <bgColor rgb="FFFDECEF"/>
        </patternFill>
      </fill>
    </dxf>
    <dxf>
      <fill>
        <patternFill>
          <bgColor rgb="FFEFF8F3"/>
        </patternFill>
      </fill>
    </dxf>
    <dxf>
      <fill>
        <patternFill>
          <bgColor rgb="FFFFF4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75B61"/>
      <rgbColor rgb="FFC0C0C0"/>
      <rgbColor rgb="FF808080"/>
      <rgbColor rgb="FF9999FF"/>
      <rgbColor rgb="FFA81D3A"/>
      <rgbColor rgb="FFFFF9DB"/>
      <rgbColor rgb="FFE8F4F5"/>
      <rgbColor rgb="FF660066"/>
      <rgbColor rgb="FFFF8080"/>
      <rgbColor rgb="FF0066CC"/>
      <rgbColor rgb="FFCBD5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8F3"/>
      <rgbColor rgb="FFFDECEF"/>
      <rgbColor rgb="FFFFF4E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0"/>
      <rgbColor rgb="FF9AA7AB"/>
      <rgbColor rgb="FF003366"/>
      <rgbColor rgb="FF339966"/>
      <rgbColor rgb="FF10182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6" min="6" style="0" width="46"/>
    <col collapsed="false" customWidth="true" hidden="false" outlineLevel="0" max="7" min="7" style="0" width="50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4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5.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4" t="s">
        <v>14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customFormat="false" ht="57.75" hidden="false" customHeight="true" outlineLevel="0" collapsed="false">
      <c r="A7" s="5" t="s">
        <v>15</v>
      </c>
      <c r="B7" s="6" t="s">
        <v>16</v>
      </c>
      <c r="C7" s="6" t="s">
        <v>17</v>
      </c>
      <c r="D7" s="7" t="s">
        <v>18</v>
      </c>
      <c r="E7" s="6" t="s">
        <v>19</v>
      </c>
      <c r="F7" s="6" t="s">
        <v>20</v>
      </c>
      <c r="G7" s="6" t="s">
        <v>21</v>
      </c>
      <c r="H7" s="8"/>
      <c r="I7" s="8"/>
      <c r="J7" s="9"/>
      <c r="K7" s="8"/>
    </row>
    <row r="8" customFormat="false" ht="57.75" hidden="false" customHeight="true" outlineLevel="0" collapsed="false">
      <c r="A8" s="5" t="s">
        <v>22</v>
      </c>
      <c r="B8" s="6" t="s">
        <v>16</v>
      </c>
      <c r="C8" s="6" t="s">
        <v>23</v>
      </c>
      <c r="D8" s="7" t="s">
        <v>18</v>
      </c>
      <c r="E8" s="6" t="s">
        <v>24</v>
      </c>
      <c r="F8" s="6" t="s">
        <v>25</v>
      </c>
      <c r="G8" s="6" t="s">
        <v>26</v>
      </c>
      <c r="H8" s="8"/>
      <c r="I8" s="8"/>
      <c r="J8" s="9"/>
      <c r="K8" s="8"/>
    </row>
    <row r="9" customFormat="false" ht="57.75" hidden="false" customHeight="true" outlineLevel="0" collapsed="false">
      <c r="A9" s="5" t="s">
        <v>27</v>
      </c>
      <c r="B9" s="6" t="s">
        <v>16</v>
      </c>
      <c r="C9" s="6" t="s">
        <v>28</v>
      </c>
      <c r="D9" s="7" t="s">
        <v>29</v>
      </c>
      <c r="E9" s="6" t="s">
        <v>30</v>
      </c>
      <c r="F9" s="6" t="s">
        <v>31</v>
      </c>
      <c r="G9" s="6" t="s">
        <v>32</v>
      </c>
      <c r="H9" s="8"/>
      <c r="I9" s="8"/>
      <c r="J9" s="9"/>
      <c r="K9" s="8"/>
    </row>
    <row r="10" customFormat="false" ht="57.75" hidden="false" customHeight="true" outlineLevel="0" collapsed="false">
      <c r="A10" s="5" t="s">
        <v>33</v>
      </c>
      <c r="B10" s="6" t="s">
        <v>16</v>
      </c>
      <c r="C10" s="6" t="s">
        <v>34</v>
      </c>
      <c r="D10" s="7" t="s">
        <v>35</v>
      </c>
      <c r="E10" s="6" t="s">
        <v>36</v>
      </c>
      <c r="F10" s="6" t="s">
        <v>37</v>
      </c>
      <c r="G10" s="6" t="s">
        <v>38</v>
      </c>
      <c r="H10" s="8"/>
      <c r="I10" s="8"/>
      <c r="J10" s="9"/>
      <c r="K10" s="8"/>
    </row>
    <row r="11" customFormat="false" ht="57.75" hidden="false" customHeight="true" outlineLevel="0" collapsed="false">
      <c r="A11" s="5" t="s">
        <v>39</v>
      </c>
      <c r="B11" s="6" t="s">
        <v>16</v>
      </c>
      <c r="C11" s="6" t="s">
        <v>40</v>
      </c>
      <c r="D11" s="7" t="s">
        <v>18</v>
      </c>
      <c r="E11" s="6" t="s">
        <v>41</v>
      </c>
      <c r="F11" s="6" t="s">
        <v>42</v>
      </c>
      <c r="G11" s="6" t="s">
        <v>43</v>
      </c>
      <c r="H11" s="8"/>
      <c r="I11" s="8"/>
      <c r="J11" s="9"/>
      <c r="K11" s="8"/>
    </row>
    <row r="12" customFormat="false" ht="15" hidden="false" customHeight="false" outlineLevel="0" collapsed="false">
      <c r="A12" s="4" t="s">
        <v>44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customFormat="false" ht="57.75" hidden="false" customHeight="true" outlineLevel="0" collapsed="false">
      <c r="A13" s="5" t="s">
        <v>45</v>
      </c>
      <c r="B13" s="6" t="s">
        <v>46</v>
      </c>
      <c r="C13" s="6" t="s">
        <v>47</v>
      </c>
      <c r="D13" s="7" t="s">
        <v>48</v>
      </c>
      <c r="E13" s="6" t="s">
        <v>36</v>
      </c>
      <c r="F13" s="6" t="s">
        <v>49</v>
      </c>
      <c r="G13" s="6" t="s">
        <v>50</v>
      </c>
      <c r="H13" s="8"/>
      <c r="I13" s="8"/>
      <c r="J13" s="9"/>
      <c r="K13" s="8"/>
    </row>
    <row r="14" customFormat="false" ht="57.75" hidden="false" customHeight="true" outlineLevel="0" collapsed="false">
      <c r="A14" s="5" t="s">
        <v>51</v>
      </c>
      <c r="B14" s="6" t="s">
        <v>46</v>
      </c>
      <c r="C14" s="6" t="s">
        <v>52</v>
      </c>
      <c r="D14" s="7" t="s">
        <v>29</v>
      </c>
      <c r="E14" s="6" t="s">
        <v>53</v>
      </c>
      <c r="F14" s="6" t="s">
        <v>54</v>
      </c>
      <c r="G14" s="6" t="s">
        <v>55</v>
      </c>
      <c r="H14" s="8"/>
      <c r="I14" s="8"/>
      <c r="J14" s="9"/>
      <c r="K14" s="8"/>
    </row>
    <row r="15" customFormat="false" ht="57.75" hidden="false" customHeight="true" outlineLevel="0" collapsed="false">
      <c r="A15" s="5" t="s">
        <v>56</v>
      </c>
      <c r="B15" s="6" t="s">
        <v>46</v>
      </c>
      <c r="C15" s="6" t="s">
        <v>57</v>
      </c>
      <c r="D15" s="7" t="s">
        <v>48</v>
      </c>
      <c r="E15" s="6" t="s">
        <v>58</v>
      </c>
      <c r="F15" s="6" t="s">
        <v>59</v>
      </c>
      <c r="G15" s="6" t="s">
        <v>60</v>
      </c>
      <c r="H15" s="8"/>
      <c r="I15" s="8"/>
      <c r="J15" s="9"/>
      <c r="K15" s="8"/>
    </row>
    <row r="16" customFormat="false" ht="57.75" hidden="false" customHeight="true" outlineLevel="0" collapsed="false">
      <c r="A16" s="5" t="s">
        <v>61</v>
      </c>
      <c r="B16" s="6" t="s">
        <v>46</v>
      </c>
      <c r="C16" s="6" t="s">
        <v>62</v>
      </c>
      <c r="D16" s="7" t="s">
        <v>35</v>
      </c>
      <c r="E16" s="6" t="s">
        <v>53</v>
      </c>
      <c r="F16" s="6" t="s">
        <v>63</v>
      </c>
      <c r="G16" s="6" t="s">
        <v>64</v>
      </c>
      <c r="H16" s="8"/>
      <c r="I16" s="8"/>
      <c r="J16" s="9"/>
      <c r="K16" s="8"/>
    </row>
    <row r="17" customFormat="false" ht="57.75" hidden="false" customHeight="true" outlineLevel="0" collapsed="false">
      <c r="A17" s="5" t="s">
        <v>65</v>
      </c>
      <c r="B17" s="6" t="s">
        <v>46</v>
      </c>
      <c r="C17" s="6" t="s">
        <v>66</v>
      </c>
      <c r="D17" s="7" t="s">
        <v>18</v>
      </c>
      <c r="E17" s="6" t="s">
        <v>67</v>
      </c>
      <c r="F17" s="6" t="s">
        <v>68</v>
      </c>
      <c r="G17" s="6" t="s">
        <v>69</v>
      </c>
      <c r="H17" s="8"/>
      <c r="I17" s="8"/>
      <c r="J17" s="9"/>
      <c r="K17" s="8"/>
    </row>
    <row r="18" customFormat="false" ht="57.75" hidden="false" customHeight="true" outlineLevel="0" collapsed="false">
      <c r="A18" s="5" t="s">
        <v>70</v>
      </c>
      <c r="B18" s="6" t="s">
        <v>46</v>
      </c>
      <c r="C18" s="6" t="s">
        <v>71</v>
      </c>
      <c r="D18" s="7" t="s">
        <v>18</v>
      </c>
      <c r="E18" s="6" t="s">
        <v>72</v>
      </c>
      <c r="F18" s="6" t="s">
        <v>73</v>
      </c>
      <c r="G18" s="6" t="s">
        <v>74</v>
      </c>
      <c r="H18" s="8"/>
      <c r="I18" s="8"/>
      <c r="J18" s="9"/>
      <c r="K18" s="8"/>
    </row>
    <row r="19" customFormat="false" ht="15" hidden="false" customHeight="false" outlineLevel="0" collapsed="false">
      <c r="A19" s="4" t="s">
        <v>75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customFormat="false" ht="57.75" hidden="false" customHeight="true" outlineLevel="0" collapsed="false">
      <c r="A20" s="5" t="s">
        <v>76</v>
      </c>
      <c r="B20" s="6" t="s">
        <v>77</v>
      </c>
      <c r="C20" s="6" t="s">
        <v>78</v>
      </c>
      <c r="D20" s="7" t="s">
        <v>35</v>
      </c>
      <c r="E20" s="6" t="s">
        <v>79</v>
      </c>
      <c r="F20" s="6" t="s">
        <v>80</v>
      </c>
      <c r="G20" s="6" t="s">
        <v>81</v>
      </c>
      <c r="H20" s="8"/>
      <c r="I20" s="8"/>
      <c r="J20" s="9"/>
      <c r="K20" s="8"/>
    </row>
    <row r="21" customFormat="false" ht="57.75" hidden="false" customHeight="true" outlineLevel="0" collapsed="false">
      <c r="A21" s="5" t="s">
        <v>82</v>
      </c>
      <c r="B21" s="6" t="s">
        <v>77</v>
      </c>
      <c r="C21" s="6" t="s">
        <v>83</v>
      </c>
      <c r="D21" s="7" t="s">
        <v>18</v>
      </c>
      <c r="E21" s="6" t="s">
        <v>84</v>
      </c>
      <c r="F21" s="6" t="s">
        <v>85</v>
      </c>
      <c r="G21" s="6" t="s">
        <v>86</v>
      </c>
      <c r="H21" s="8"/>
      <c r="I21" s="8"/>
      <c r="J21" s="9"/>
      <c r="K21" s="8"/>
    </row>
    <row r="22" customFormat="false" ht="57.75" hidden="false" customHeight="true" outlineLevel="0" collapsed="false">
      <c r="A22" s="5" t="s">
        <v>87</v>
      </c>
      <c r="B22" s="6" t="s">
        <v>77</v>
      </c>
      <c r="C22" s="6" t="s">
        <v>88</v>
      </c>
      <c r="D22" s="7" t="s">
        <v>35</v>
      </c>
      <c r="E22" s="6" t="s">
        <v>89</v>
      </c>
      <c r="F22" s="6" t="s">
        <v>90</v>
      </c>
      <c r="G22" s="6" t="s">
        <v>91</v>
      </c>
      <c r="H22" s="8"/>
      <c r="I22" s="8"/>
      <c r="J22" s="9"/>
      <c r="K22" s="8"/>
    </row>
    <row r="23" customFormat="false" ht="57.75" hidden="false" customHeight="true" outlineLevel="0" collapsed="false">
      <c r="A23" s="5" t="s">
        <v>92</v>
      </c>
      <c r="B23" s="6" t="s">
        <v>77</v>
      </c>
      <c r="C23" s="6" t="s">
        <v>93</v>
      </c>
      <c r="D23" s="7" t="s">
        <v>18</v>
      </c>
      <c r="E23" s="6" t="s">
        <v>94</v>
      </c>
      <c r="F23" s="6" t="s">
        <v>95</v>
      </c>
      <c r="G23" s="6" t="s">
        <v>96</v>
      </c>
      <c r="H23" s="8"/>
      <c r="I23" s="8"/>
      <c r="J23" s="9"/>
      <c r="K23" s="8"/>
    </row>
    <row r="24" customFormat="false" ht="57.75" hidden="false" customHeight="true" outlineLevel="0" collapsed="false">
      <c r="A24" s="5" t="s">
        <v>97</v>
      </c>
      <c r="B24" s="6" t="s">
        <v>77</v>
      </c>
      <c r="C24" s="6" t="s">
        <v>98</v>
      </c>
      <c r="D24" s="7" t="s">
        <v>29</v>
      </c>
      <c r="E24" s="6" t="s">
        <v>79</v>
      </c>
      <c r="F24" s="6" t="s">
        <v>99</v>
      </c>
      <c r="G24" s="6" t="s">
        <v>100</v>
      </c>
      <c r="H24" s="8"/>
      <c r="I24" s="8"/>
      <c r="J24" s="9"/>
      <c r="K24" s="8"/>
    </row>
    <row r="25" customFormat="false" ht="15" hidden="false" customHeight="false" outlineLevel="0" collapsed="false">
      <c r="A25" s="4" t="s">
        <v>101</v>
      </c>
      <c r="B25" s="4"/>
      <c r="C25" s="4"/>
      <c r="D25" s="4"/>
      <c r="E25" s="4"/>
      <c r="F25" s="4"/>
      <c r="G25" s="4"/>
      <c r="H25" s="4"/>
      <c r="I25" s="4"/>
      <c r="J25" s="4"/>
      <c r="K25" s="4"/>
    </row>
    <row r="26" customFormat="false" ht="57.75" hidden="false" customHeight="true" outlineLevel="0" collapsed="false">
      <c r="A26" s="5" t="s">
        <v>102</v>
      </c>
      <c r="B26" s="6" t="s">
        <v>103</v>
      </c>
      <c r="C26" s="6" t="s">
        <v>104</v>
      </c>
      <c r="D26" s="7" t="s">
        <v>35</v>
      </c>
      <c r="E26" s="6" t="s">
        <v>105</v>
      </c>
      <c r="F26" s="6" t="s">
        <v>106</v>
      </c>
      <c r="G26" s="6" t="s">
        <v>107</v>
      </c>
      <c r="H26" s="8"/>
      <c r="I26" s="8"/>
      <c r="J26" s="9"/>
      <c r="K26" s="8"/>
    </row>
    <row r="27" customFormat="false" ht="57.75" hidden="false" customHeight="true" outlineLevel="0" collapsed="false">
      <c r="A27" s="5" t="s">
        <v>108</v>
      </c>
      <c r="B27" s="6" t="s">
        <v>103</v>
      </c>
      <c r="C27" s="6" t="s">
        <v>109</v>
      </c>
      <c r="D27" s="7" t="s">
        <v>35</v>
      </c>
      <c r="E27" s="6" t="s">
        <v>110</v>
      </c>
      <c r="F27" s="6" t="s">
        <v>111</v>
      </c>
      <c r="G27" s="6" t="s">
        <v>112</v>
      </c>
      <c r="H27" s="8"/>
      <c r="I27" s="8"/>
      <c r="J27" s="9"/>
      <c r="K27" s="8"/>
    </row>
    <row r="28" customFormat="false" ht="57.75" hidden="false" customHeight="true" outlineLevel="0" collapsed="false">
      <c r="A28" s="5" t="s">
        <v>113</v>
      </c>
      <c r="B28" s="6" t="s">
        <v>103</v>
      </c>
      <c r="C28" s="6" t="s">
        <v>114</v>
      </c>
      <c r="D28" s="7" t="s">
        <v>18</v>
      </c>
      <c r="E28" s="6" t="s">
        <v>115</v>
      </c>
      <c r="F28" s="6" t="s">
        <v>116</v>
      </c>
      <c r="G28" s="6" t="s">
        <v>117</v>
      </c>
      <c r="H28" s="8"/>
      <c r="I28" s="8"/>
      <c r="J28" s="9"/>
      <c r="K28" s="8"/>
    </row>
    <row r="29" customFormat="false" ht="57.75" hidden="false" customHeight="true" outlineLevel="0" collapsed="false">
      <c r="A29" s="5" t="s">
        <v>118</v>
      </c>
      <c r="B29" s="6" t="s">
        <v>103</v>
      </c>
      <c r="C29" s="6" t="s">
        <v>119</v>
      </c>
      <c r="D29" s="7" t="s">
        <v>35</v>
      </c>
      <c r="E29" s="6" t="s">
        <v>120</v>
      </c>
      <c r="F29" s="6" t="s">
        <v>121</v>
      </c>
      <c r="G29" s="6" t="s">
        <v>122</v>
      </c>
      <c r="H29" s="8"/>
      <c r="I29" s="8"/>
      <c r="J29" s="9"/>
      <c r="K29" s="8"/>
    </row>
    <row r="30" customFormat="false" ht="57.75" hidden="false" customHeight="true" outlineLevel="0" collapsed="false">
      <c r="A30" s="5" t="s">
        <v>123</v>
      </c>
      <c r="B30" s="6" t="s">
        <v>103</v>
      </c>
      <c r="C30" s="6" t="s">
        <v>124</v>
      </c>
      <c r="D30" s="7" t="s">
        <v>18</v>
      </c>
      <c r="E30" s="6" t="s">
        <v>125</v>
      </c>
      <c r="F30" s="6" t="s">
        <v>126</v>
      </c>
      <c r="G30" s="6" t="s">
        <v>127</v>
      </c>
      <c r="H30" s="8"/>
      <c r="I30" s="8"/>
      <c r="J30" s="9"/>
      <c r="K30" s="8"/>
    </row>
    <row r="31" customFormat="false" ht="57.75" hidden="false" customHeight="true" outlineLevel="0" collapsed="false">
      <c r="A31" s="5" t="s">
        <v>128</v>
      </c>
      <c r="B31" s="6" t="s">
        <v>103</v>
      </c>
      <c r="C31" s="6" t="s">
        <v>129</v>
      </c>
      <c r="D31" s="7" t="s">
        <v>29</v>
      </c>
      <c r="E31" s="6" t="s">
        <v>36</v>
      </c>
      <c r="F31" s="6" t="s">
        <v>130</v>
      </c>
      <c r="G31" s="6" t="s">
        <v>131</v>
      </c>
      <c r="H31" s="8"/>
      <c r="I31" s="8"/>
      <c r="J31" s="9"/>
      <c r="K31" s="8"/>
    </row>
    <row r="32" customFormat="false" ht="57.75" hidden="false" customHeight="true" outlineLevel="0" collapsed="false">
      <c r="A32" s="5" t="s">
        <v>132</v>
      </c>
      <c r="B32" s="6" t="s">
        <v>103</v>
      </c>
      <c r="C32" s="6" t="s">
        <v>133</v>
      </c>
      <c r="D32" s="7" t="s">
        <v>29</v>
      </c>
      <c r="E32" s="6" t="s">
        <v>36</v>
      </c>
      <c r="F32" s="6" t="s">
        <v>134</v>
      </c>
      <c r="G32" s="6" t="s">
        <v>135</v>
      </c>
      <c r="H32" s="8"/>
      <c r="I32" s="8"/>
      <c r="J32" s="9"/>
      <c r="K32" s="8"/>
    </row>
    <row r="33" customFormat="false" ht="15" hidden="false" customHeight="false" outlineLevel="0" collapsed="false">
      <c r="A33" s="4" t="s">
        <v>136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customFormat="false" ht="57.75" hidden="false" customHeight="true" outlineLevel="0" collapsed="false">
      <c r="A34" s="5" t="s">
        <v>137</v>
      </c>
      <c r="B34" s="6" t="s">
        <v>138</v>
      </c>
      <c r="C34" s="6" t="s">
        <v>139</v>
      </c>
      <c r="D34" s="7" t="s">
        <v>29</v>
      </c>
      <c r="E34" s="6" t="s">
        <v>36</v>
      </c>
      <c r="F34" s="6" t="s">
        <v>140</v>
      </c>
      <c r="G34" s="6" t="s">
        <v>141</v>
      </c>
      <c r="H34" s="8"/>
      <c r="I34" s="8"/>
      <c r="J34" s="9"/>
      <c r="K34" s="8"/>
    </row>
    <row r="35" customFormat="false" ht="57.75" hidden="false" customHeight="true" outlineLevel="0" collapsed="false">
      <c r="A35" s="5" t="s">
        <v>142</v>
      </c>
      <c r="B35" s="6" t="s">
        <v>138</v>
      </c>
      <c r="C35" s="6" t="s">
        <v>143</v>
      </c>
      <c r="D35" s="7" t="s">
        <v>35</v>
      </c>
      <c r="E35" s="6" t="s">
        <v>144</v>
      </c>
      <c r="F35" s="6" t="s">
        <v>145</v>
      </c>
      <c r="G35" s="6" t="s">
        <v>146</v>
      </c>
      <c r="H35" s="8"/>
      <c r="I35" s="8"/>
      <c r="J35" s="9"/>
      <c r="K35" s="8"/>
    </row>
    <row r="36" customFormat="false" ht="57.75" hidden="false" customHeight="true" outlineLevel="0" collapsed="false">
      <c r="A36" s="5" t="s">
        <v>147</v>
      </c>
      <c r="B36" s="6" t="s">
        <v>138</v>
      </c>
      <c r="C36" s="6" t="s">
        <v>148</v>
      </c>
      <c r="D36" s="7" t="s">
        <v>48</v>
      </c>
      <c r="E36" s="6" t="s">
        <v>36</v>
      </c>
      <c r="F36" s="6" t="s">
        <v>149</v>
      </c>
      <c r="G36" s="6" t="s">
        <v>150</v>
      </c>
      <c r="H36" s="8"/>
      <c r="I36" s="8"/>
      <c r="J36" s="9"/>
      <c r="K36" s="8"/>
    </row>
    <row r="37" customFormat="false" ht="57.75" hidden="false" customHeight="true" outlineLevel="0" collapsed="false">
      <c r="A37" s="5" t="s">
        <v>151</v>
      </c>
      <c r="B37" s="6" t="s">
        <v>138</v>
      </c>
      <c r="C37" s="6" t="s">
        <v>152</v>
      </c>
      <c r="D37" s="7" t="s">
        <v>29</v>
      </c>
      <c r="E37" s="6" t="s">
        <v>36</v>
      </c>
      <c r="F37" s="6" t="s">
        <v>153</v>
      </c>
      <c r="G37" s="6" t="s">
        <v>154</v>
      </c>
      <c r="H37" s="8"/>
      <c r="I37" s="8"/>
      <c r="J37" s="9"/>
      <c r="K37" s="8"/>
    </row>
    <row r="38" customFormat="false" ht="15" hidden="false" customHeight="false" outlineLevel="0" collapsed="false">
      <c r="A38" s="4" t="s">
        <v>155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customFormat="false" ht="57.75" hidden="false" customHeight="true" outlineLevel="0" collapsed="false">
      <c r="A39" s="5" t="s">
        <v>156</v>
      </c>
      <c r="B39" s="6" t="s">
        <v>157</v>
      </c>
      <c r="C39" s="6" t="s">
        <v>158</v>
      </c>
      <c r="D39" s="7" t="s">
        <v>35</v>
      </c>
      <c r="E39" s="6" t="s">
        <v>36</v>
      </c>
      <c r="F39" s="6" t="s">
        <v>159</v>
      </c>
      <c r="G39" s="6" t="s">
        <v>160</v>
      </c>
      <c r="H39" s="8"/>
      <c r="I39" s="8"/>
      <c r="J39" s="9"/>
      <c r="K39" s="8"/>
    </row>
    <row r="40" customFormat="false" ht="57.75" hidden="false" customHeight="true" outlineLevel="0" collapsed="false">
      <c r="A40" s="5" t="s">
        <v>161</v>
      </c>
      <c r="B40" s="6" t="s">
        <v>157</v>
      </c>
      <c r="C40" s="6" t="s">
        <v>162</v>
      </c>
      <c r="D40" s="7" t="s">
        <v>35</v>
      </c>
      <c r="E40" s="6" t="s">
        <v>163</v>
      </c>
      <c r="F40" s="6" t="s">
        <v>164</v>
      </c>
      <c r="G40" s="6" t="s">
        <v>165</v>
      </c>
      <c r="H40" s="8"/>
      <c r="I40" s="8"/>
      <c r="J40" s="9"/>
      <c r="K40" s="8"/>
    </row>
    <row r="41" customFormat="false" ht="57.75" hidden="false" customHeight="true" outlineLevel="0" collapsed="false">
      <c r="A41" s="5" t="s">
        <v>166</v>
      </c>
      <c r="B41" s="6" t="s">
        <v>157</v>
      </c>
      <c r="C41" s="6" t="s">
        <v>167</v>
      </c>
      <c r="D41" s="7" t="s">
        <v>29</v>
      </c>
      <c r="E41" s="6" t="s">
        <v>168</v>
      </c>
      <c r="F41" s="6" t="s">
        <v>169</v>
      </c>
      <c r="G41" s="6" t="s">
        <v>170</v>
      </c>
      <c r="H41" s="8"/>
      <c r="I41" s="8"/>
      <c r="J41" s="9"/>
      <c r="K41" s="8"/>
    </row>
    <row r="42" customFormat="false" ht="57.75" hidden="false" customHeight="true" outlineLevel="0" collapsed="false">
      <c r="A42" s="5" t="s">
        <v>171</v>
      </c>
      <c r="B42" s="6" t="s">
        <v>157</v>
      </c>
      <c r="C42" s="6" t="s">
        <v>172</v>
      </c>
      <c r="D42" s="7" t="s">
        <v>29</v>
      </c>
      <c r="E42" s="6" t="s">
        <v>36</v>
      </c>
      <c r="F42" s="6" t="s">
        <v>173</v>
      </c>
      <c r="G42" s="6" t="s">
        <v>174</v>
      </c>
      <c r="H42" s="8"/>
      <c r="I42" s="8"/>
      <c r="J42" s="9"/>
      <c r="K42" s="8"/>
    </row>
    <row r="43" customFormat="false" ht="57.75" hidden="false" customHeight="true" outlineLevel="0" collapsed="false">
      <c r="A43" s="5" t="s">
        <v>175</v>
      </c>
      <c r="B43" s="6" t="s">
        <v>157</v>
      </c>
      <c r="C43" s="6" t="s">
        <v>176</v>
      </c>
      <c r="D43" s="7" t="s">
        <v>18</v>
      </c>
      <c r="E43" s="6" t="s">
        <v>36</v>
      </c>
      <c r="F43" s="6" t="s">
        <v>177</v>
      </c>
      <c r="G43" s="6" t="s">
        <v>178</v>
      </c>
      <c r="H43" s="8"/>
      <c r="I43" s="8"/>
      <c r="J43" s="9"/>
      <c r="K43" s="8"/>
    </row>
    <row r="44" customFormat="false" ht="57.75" hidden="false" customHeight="true" outlineLevel="0" collapsed="false">
      <c r="A44" s="5" t="s">
        <v>179</v>
      </c>
      <c r="B44" s="6" t="s">
        <v>157</v>
      </c>
      <c r="C44" s="6" t="s">
        <v>180</v>
      </c>
      <c r="D44" s="7" t="s">
        <v>35</v>
      </c>
      <c r="E44" s="6" t="s">
        <v>181</v>
      </c>
      <c r="F44" s="6" t="s">
        <v>182</v>
      </c>
      <c r="G44" s="6" t="s">
        <v>183</v>
      </c>
      <c r="H44" s="8"/>
      <c r="I44" s="8"/>
      <c r="J44" s="9"/>
      <c r="K44" s="8"/>
    </row>
    <row r="45" customFormat="false" ht="15" hidden="false" customHeight="false" outlineLevel="0" collapsed="false">
      <c r="A45" s="4" t="s">
        <v>184</v>
      </c>
      <c r="B45" s="4"/>
      <c r="C45" s="4"/>
      <c r="D45" s="4"/>
      <c r="E45" s="4"/>
      <c r="F45" s="4"/>
      <c r="G45" s="4"/>
      <c r="H45" s="4"/>
      <c r="I45" s="4"/>
      <c r="J45" s="4"/>
      <c r="K45" s="4"/>
    </row>
    <row r="46" customFormat="false" ht="57.75" hidden="false" customHeight="true" outlineLevel="0" collapsed="false">
      <c r="A46" s="5" t="s">
        <v>185</v>
      </c>
      <c r="B46" s="6" t="s">
        <v>186</v>
      </c>
      <c r="C46" s="6" t="s">
        <v>187</v>
      </c>
      <c r="D46" s="7" t="s">
        <v>18</v>
      </c>
      <c r="E46" s="6" t="s">
        <v>188</v>
      </c>
      <c r="F46" s="6" t="s">
        <v>189</v>
      </c>
      <c r="G46" s="6" t="s">
        <v>190</v>
      </c>
      <c r="H46" s="8"/>
      <c r="I46" s="8"/>
      <c r="J46" s="9"/>
      <c r="K46" s="8"/>
    </row>
    <row r="47" customFormat="false" ht="57.75" hidden="false" customHeight="true" outlineLevel="0" collapsed="false">
      <c r="A47" s="5" t="s">
        <v>191</v>
      </c>
      <c r="B47" s="6" t="s">
        <v>186</v>
      </c>
      <c r="C47" s="6" t="s">
        <v>192</v>
      </c>
      <c r="D47" s="7" t="s">
        <v>35</v>
      </c>
      <c r="E47" s="6" t="s">
        <v>193</v>
      </c>
      <c r="F47" s="6" t="s">
        <v>194</v>
      </c>
      <c r="G47" s="6" t="s">
        <v>195</v>
      </c>
      <c r="H47" s="8"/>
      <c r="I47" s="8"/>
      <c r="J47" s="9"/>
      <c r="K47" s="8"/>
    </row>
    <row r="48" customFormat="false" ht="57.75" hidden="false" customHeight="true" outlineLevel="0" collapsed="false">
      <c r="A48" s="5" t="s">
        <v>196</v>
      </c>
      <c r="B48" s="6" t="s">
        <v>186</v>
      </c>
      <c r="C48" s="6" t="s">
        <v>197</v>
      </c>
      <c r="D48" s="7" t="s">
        <v>29</v>
      </c>
      <c r="E48" s="6" t="s">
        <v>198</v>
      </c>
      <c r="F48" s="6" t="s">
        <v>199</v>
      </c>
      <c r="G48" s="6" t="s">
        <v>200</v>
      </c>
      <c r="H48" s="8"/>
      <c r="I48" s="8"/>
      <c r="J48" s="9"/>
      <c r="K48" s="8"/>
    </row>
    <row r="49" customFormat="false" ht="57.75" hidden="false" customHeight="true" outlineLevel="0" collapsed="false">
      <c r="A49" s="5" t="s">
        <v>201</v>
      </c>
      <c r="B49" s="6" t="s">
        <v>186</v>
      </c>
      <c r="C49" s="6" t="s">
        <v>202</v>
      </c>
      <c r="D49" s="7" t="s">
        <v>35</v>
      </c>
      <c r="E49" s="6" t="s">
        <v>203</v>
      </c>
      <c r="F49" s="6" t="s">
        <v>204</v>
      </c>
      <c r="G49" s="6" t="s">
        <v>205</v>
      </c>
      <c r="H49" s="8"/>
      <c r="I49" s="8"/>
      <c r="J49" s="9"/>
      <c r="K49" s="8"/>
    </row>
  </sheetData>
  <autoFilter ref="A5:K49"/>
  <mergeCells count="7">
    <mergeCell ref="A6:K6"/>
    <mergeCell ref="A12:K12"/>
    <mergeCell ref="A19:K19"/>
    <mergeCell ref="A25:K25"/>
    <mergeCell ref="A33:K33"/>
    <mergeCell ref="A38:K38"/>
    <mergeCell ref="A45:K45"/>
  </mergeCells>
  <conditionalFormatting sqref="A6:K49">
    <cfRule type="expression" priority="2" aboveAverage="0" equalAverage="0" bottom="0" percent="0" rank="0" text="" dxfId="7">
      <formula>$H6="Fail"</formula>
    </cfRule>
    <cfRule type="expression" priority="3" aboveAverage="0" equalAverage="0" bottom="0" percent="0" rank="0" text="" dxfId="8">
      <formula>$H6="Pass"</formula>
    </cfRule>
    <cfRule type="expression" priority="4" aboveAverage="0" equalAverage="0" bottom="0" percent="0" rank="0" text="" dxfId="9">
      <formula>$H6="Blocked"</formula>
    </cfRule>
  </conditionalFormatting>
  <dataValidations count="1">
    <dataValidation allowBlank="true" error="Choose Pass, Fail, Blocked or Not run." errorStyle="stop" errorTitle="Invalid result" operator="between" showDropDown="false" showErrorMessage="false" showInputMessage="false" sqref="H6:H49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4" min="3" style="0" width="18"/>
  </cols>
  <sheetData>
    <row r="1" customFormat="false" ht="19.7" hidden="false" customHeight="false" outlineLevel="0" collapsed="false">
      <c r="A1" s="1" t="s">
        <v>206</v>
      </c>
    </row>
    <row r="2" customFormat="false" ht="15" hidden="false" customHeight="false" outlineLevel="0" collapsed="false">
      <c r="A2" s="2" t="s">
        <v>207</v>
      </c>
    </row>
    <row r="4" customFormat="false" ht="15" hidden="false" customHeight="false" outlineLevel="0" collapsed="false">
      <c r="A4" s="10" t="s">
        <v>208</v>
      </c>
      <c r="B4" s="11" t="n">
        <f aca="false">COUNTA('Test Results'!A6:A49)-COUNTIF('Test Results'!A6:A49,"Group *")</f>
        <v>37</v>
      </c>
    </row>
    <row r="5" customFormat="false" ht="15" hidden="false" customHeight="false" outlineLevel="0" collapsed="false">
      <c r="A5" s="10" t="s">
        <v>209</v>
      </c>
      <c r="B5" s="11" t="n">
        <f aca="false">COUNTIF('Test Results'!H6:H49,"Pass")</f>
        <v>0</v>
      </c>
    </row>
    <row r="6" customFormat="false" ht="15" hidden="false" customHeight="false" outlineLevel="0" collapsed="false">
      <c r="A6" s="10" t="s">
        <v>210</v>
      </c>
      <c r="B6" s="11" t="n">
        <f aca="false">COUNTIF('Test Results'!H6:H49,"Fail")</f>
        <v>0</v>
      </c>
    </row>
    <row r="7" customFormat="false" ht="15" hidden="false" customHeight="false" outlineLevel="0" collapsed="false">
      <c r="A7" s="10" t="s">
        <v>211</v>
      </c>
      <c r="B7" s="11" t="n">
        <f aca="false">COUNTIF('Test Results'!H6:H49,"Blocked")</f>
        <v>0</v>
      </c>
    </row>
    <row r="8" customFormat="false" ht="15" hidden="false" customHeight="false" outlineLevel="0" collapsed="false">
      <c r="A8" s="10" t="s">
        <v>212</v>
      </c>
      <c r="B8" s="11" t="n">
        <f aca="false">COUNTIF('Test Results'!H6:H49,"Not run")+COUNTBLANK('Test Results'!H6:H49)-COUNTIF('Test Results'!A6:A49,"Group *")</f>
        <v>37</v>
      </c>
    </row>
    <row r="9" customFormat="false" ht="15" hidden="false" customHeight="false" outlineLevel="0" collapsed="false">
      <c r="A9" s="12" t="s">
        <v>213</v>
      </c>
      <c r="B9" s="11" t="n">
        <f aca="false">COUNTIFS('Test Results'!D6:D49,"Critical",'Test Results'!H6:H49,"Fail")</f>
        <v>0</v>
      </c>
    </row>
    <row r="11" customFormat="false" ht="15" hidden="false" customHeight="false" outlineLevel="0" collapsed="false">
      <c r="A11" s="13" t="s">
        <v>214</v>
      </c>
    </row>
    <row r="12" customFormat="false" ht="15" hidden="false" customHeight="false" outlineLevel="0" collapsed="false">
      <c r="A12" s="10" t="s">
        <v>11</v>
      </c>
      <c r="B12" s="14" t="s">
        <v>215</v>
      </c>
    </row>
    <row r="13" customFormat="false" ht="15" hidden="false" customHeight="false" outlineLevel="0" collapsed="false">
      <c r="A13" s="10" t="s">
        <v>216</v>
      </c>
      <c r="B13" s="15"/>
    </row>
    <row r="14" customFormat="false" ht="15" hidden="false" customHeight="false" outlineLevel="0" collapsed="false">
      <c r="A14" s="10" t="s">
        <v>217</v>
      </c>
      <c r="B14" s="15"/>
    </row>
    <row r="15" customFormat="false" ht="15" hidden="false" customHeight="false" outlineLevel="0" collapsed="false">
      <c r="A15" s="10" t="s">
        <v>218</v>
      </c>
      <c r="B15" s="15"/>
    </row>
    <row r="16" customFormat="false" ht="15" hidden="false" customHeight="false" outlineLevel="0" collapsed="false">
      <c r="A16" s="10" t="s">
        <v>219</v>
      </c>
      <c r="B16" s="15"/>
    </row>
    <row r="17" customFormat="false" ht="15" hidden="false" customHeight="false" outlineLevel="0" collapsed="false">
      <c r="A17" s="10" t="s">
        <v>220</v>
      </c>
      <c r="B17" s="15"/>
    </row>
    <row r="20" customFormat="false" ht="15" hidden="false" customHeight="false" outlineLevel="0" collapsed="false">
      <c r="A20" s="13" t="s">
        <v>221</v>
      </c>
    </row>
    <row r="21" customFormat="false" ht="15" hidden="false" customHeight="false" outlineLevel="0" collapsed="false">
      <c r="A21" s="10" t="s">
        <v>222</v>
      </c>
      <c r="B21" s="16"/>
    </row>
    <row r="23" customFormat="false" ht="15" hidden="false" customHeight="false" outlineLevel="0" collapsed="false">
      <c r="A23" s="10" t="s">
        <v>223</v>
      </c>
      <c r="B23" s="17"/>
      <c r="C23" s="17"/>
      <c r="D23" s="17"/>
    </row>
    <row r="24" customFormat="false" ht="15" hidden="false" customHeight="false" outlineLevel="0" collapsed="false">
      <c r="B24" s="17"/>
      <c r="C24" s="17"/>
      <c r="D24" s="17"/>
    </row>
    <row r="25" customFormat="false" ht="15" hidden="false" customHeight="false" outlineLevel="0" collapsed="false">
      <c r="B25" s="17"/>
      <c r="C25" s="17"/>
      <c r="D25" s="17"/>
    </row>
    <row r="26" customFormat="false" ht="15" hidden="false" customHeight="false" outlineLevel="0" collapsed="false">
      <c r="B26" s="17"/>
      <c r="C26" s="17"/>
      <c r="D26" s="17"/>
    </row>
    <row r="27" customFormat="false" ht="15" hidden="false" customHeight="false" outlineLevel="0" collapsed="false">
      <c r="B27" s="17"/>
      <c r="C27" s="17"/>
      <c r="D27" s="17"/>
    </row>
    <row r="29" customFormat="false" ht="15" hidden="false" customHeight="false" outlineLevel="0" collapsed="false">
      <c r="A29" s="18" t="s">
        <v>224</v>
      </c>
    </row>
  </sheetData>
  <mergeCells count="1">
    <mergeCell ref="B23:D27"/>
  </mergeCells>
  <dataValidations count="1">
    <dataValidation allowBlank="true" errorStyle="stop" operator="between" showDropDown="false" showErrorMessage="false" showInputMessage="false" sqref="B21" type="list">
      <formula1>"Ready to release,Release with the listed issues,Not ready"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7" hidden="false" customHeight="false" outlineLevel="0" collapsed="false">
      <c r="A1" s="1" t="s">
        <v>225</v>
      </c>
    </row>
    <row r="3" customFormat="false" ht="15" hidden="false" customHeight="false" outlineLevel="0" collapsed="false">
      <c r="A3" s="19"/>
    </row>
    <row r="4" customFormat="false" ht="15" hidden="false" customHeight="false" outlineLevel="0" collapsed="false">
      <c r="A4" s="20" t="s">
        <v>226</v>
      </c>
    </row>
    <row r="5" customFormat="false" ht="15" hidden="false" customHeight="false" outlineLevel="0" collapsed="false">
      <c r="A5" s="19" t="s">
        <v>227</v>
      </c>
    </row>
    <row r="6" customFormat="false" ht="15" hidden="false" customHeight="false" outlineLevel="0" collapsed="false">
      <c r="A6" s="19" t="s">
        <v>228</v>
      </c>
    </row>
    <row r="7" customFormat="false" ht="15" hidden="false" customHeight="false" outlineLevel="0" collapsed="false">
      <c r="A7" s="19"/>
    </row>
    <row r="8" customFormat="false" ht="15" hidden="false" customHeight="false" outlineLevel="0" collapsed="false">
      <c r="A8" s="20" t="s">
        <v>229</v>
      </c>
    </row>
    <row r="9" customFormat="false" ht="15" hidden="false" customHeight="false" outlineLevel="0" collapsed="false">
      <c r="A9" s="19" t="s">
        <v>230</v>
      </c>
    </row>
    <row r="10" customFormat="false" ht="15" hidden="false" customHeight="false" outlineLevel="0" collapsed="false">
      <c r="A10" s="21" t="s">
        <v>231</v>
      </c>
    </row>
    <row r="11" customFormat="false" ht="15" hidden="false" customHeight="false" outlineLevel="0" collapsed="false">
      <c r="A11" s="21" t="s">
        <v>232</v>
      </c>
    </row>
    <row r="12" customFormat="false" ht="15" hidden="false" customHeight="false" outlineLevel="0" collapsed="false">
      <c r="A12" s="19"/>
    </row>
    <row r="13" customFormat="false" ht="15" hidden="false" customHeight="false" outlineLevel="0" collapsed="false">
      <c r="A13" s="19" t="s">
        <v>233</v>
      </c>
    </row>
    <row r="14" customFormat="false" ht="15" hidden="false" customHeight="false" outlineLevel="0" collapsed="false">
      <c r="A14" s="19" t="s">
        <v>234</v>
      </c>
    </row>
    <row r="15" customFormat="false" ht="15" hidden="false" customHeight="false" outlineLevel="0" collapsed="false">
      <c r="A15" s="19"/>
    </row>
    <row r="16" customFormat="false" ht="15" hidden="false" customHeight="false" outlineLevel="0" collapsed="false">
      <c r="A16" s="20" t="s">
        <v>235</v>
      </c>
    </row>
    <row r="17" customFormat="false" ht="15" hidden="false" customHeight="false" outlineLevel="0" collapsed="false">
      <c r="A17" s="19" t="s">
        <v>236</v>
      </c>
    </row>
    <row r="18" customFormat="false" ht="15" hidden="false" customHeight="false" outlineLevel="0" collapsed="false">
      <c r="A18" s="19" t="s">
        <v>237</v>
      </c>
    </row>
    <row r="19" customFormat="false" ht="15" hidden="false" customHeight="false" outlineLevel="0" collapsed="false">
      <c r="A19" s="19" t="s">
        <v>238</v>
      </c>
    </row>
    <row r="20" customFormat="false" ht="15" hidden="false" customHeight="false" outlineLevel="0" collapsed="false">
      <c r="A20" s="19"/>
    </row>
    <row r="21" customFormat="false" ht="15" hidden="false" customHeight="false" outlineLevel="0" collapsed="false">
      <c r="A21" s="20" t="s">
        <v>239</v>
      </c>
    </row>
    <row r="22" customFormat="false" ht="15" hidden="false" customHeight="false" outlineLevel="0" collapsed="false">
      <c r="A22" s="19" t="s">
        <v>240</v>
      </c>
    </row>
    <row r="23" customFormat="false" ht="15" hidden="false" customHeight="false" outlineLevel="0" collapsed="false">
      <c r="A23" s="19" t="s">
        <v>241</v>
      </c>
    </row>
    <row r="24" customFormat="false" ht="15" hidden="false" customHeight="false" outlineLevel="0" collapsed="false">
      <c r="A24" s="19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2026-08-19T00:32:34Z</dcterms:created>
  <dc:creator>openpyxl</dc:creator>
  <dc:description/>
  <dc:language>en-US</dc:language>
  <cp:lastModifiedBy/>
  <dcterms:modified xsi:type="dcterms:W3CDTF">2026-08-19T00:32:34Z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